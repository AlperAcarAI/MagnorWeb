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" sheetId="1" r:id="rId4"/>
    <sheet state="visible" name="MainData" sheetId="2" r:id="rId5"/>
    <sheet state="visible" name="KOLs Prices" sheetId="3" r:id="rId6"/>
    <sheet state="visible" name="Notlar" sheetId="4" r:id="rId7"/>
    <sheet state="visible" name="Agencies" sheetId="5" r:id="rId8"/>
    <sheet state="visible" name="Network Agencies" sheetId="6" r:id="rId9"/>
    <sheet state="visible" name="ALL Data" sheetId="7" r:id="rId10"/>
    <sheet state="visible" name="NonPriceDashboard" sheetId="8" r:id="rId11"/>
    <sheet state="visible" name="Category" sheetId="9" r:id="rId12"/>
    <sheet state="visible" name="Languages" sheetId="10" r:id="rId13"/>
    <sheet state="visible" name="SocialMedias" sheetId="11" r:id="rId14"/>
  </sheets>
  <definedNames>
    <definedName hidden="1" localSheetId="0" name="_xlnm._FilterDatabase">Offer!$A$9:$J$296</definedName>
  </definedNames>
  <calcPr/>
</workbook>
</file>

<file path=xl/sharedStrings.xml><?xml version="1.0" encoding="utf-8"?>
<sst xmlns="http://schemas.openxmlformats.org/spreadsheetml/2006/main" count="4256" uniqueCount="1307">
  <si>
    <t xml:space="preserve">Customer: </t>
  </si>
  <si>
    <t xml:space="preserve">Project: </t>
  </si>
  <si>
    <t>Language</t>
  </si>
  <si>
    <t>Name</t>
  </si>
  <si>
    <t>Socials</t>
  </si>
  <si>
    <t>Unit Offer</t>
  </si>
  <si>
    <t>Column 5</t>
  </si>
  <si>
    <t>Unit Price</t>
  </si>
  <si>
    <t>Package Price</t>
  </si>
  <si>
    <t>Column 8</t>
  </si>
  <si>
    <t>Column 9</t>
  </si>
  <si>
    <t>Notes</t>
  </si>
  <si>
    <t>Turkish</t>
  </si>
  <si>
    <t>AltcoinRookie</t>
  </si>
  <si>
    <r>
      <rPr>
        <b/>
        <color theme="9"/>
        <u/>
      </rPr>
      <t>X</t>
    </r>
    <r>
      <rPr>
        <b/>
        <color theme="9"/>
        <u/>
      </rPr>
      <t xml:space="preserve">, </t>
    </r>
    <r>
      <rPr>
        <b/>
        <color theme="9"/>
        <u/>
      </rPr>
      <t>Telegram</t>
    </r>
  </si>
  <si>
    <t>★★★★☆</t>
  </si>
  <si>
    <t>Barış büyüktaş</t>
  </si>
  <si>
    <t>X</t>
  </si>
  <si>
    <t>Volume, Brand Awaraness, Invesment</t>
  </si>
  <si>
    <t>Barış kardeş</t>
  </si>
  <si>
    <t>Batuhan Çalıkuşu</t>
  </si>
  <si>
    <t>★★★☆☆</t>
  </si>
  <si>
    <t>Berk Tavşan</t>
  </si>
  <si>
    <t>Youtube</t>
  </si>
  <si>
    <t>Bitcoin Meraklısı</t>
  </si>
  <si>
    <t>Borsa Ressamı</t>
  </si>
  <si>
    <r>
      <rPr>
        <rFont val="Roboto"/>
        <b/>
        <color theme="9"/>
        <u/>
      </rPr>
      <t>X</t>
    </r>
    <r>
      <rPr>
        <rFont val="Roboto"/>
        <b/>
        <color theme="9"/>
        <u/>
      </rPr>
      <t xml:space="preserve">, </t>
    </r>
    <r>
      <rPr>
        <rFont val="Roboto"/>
        <b/>
        <color theme="9"/>
        <u/>
      </rPr>
      <t>Telegram</t>
    </r>
  </si>
  <si>
    <t>Volume</t>
  </si>
  <si>
    <t>Cemal the MM</t>
  </si>
  <si>
    <t>CihanX</t>
  </si>
  <si>
    <t>Brand Awaraness, News, Invesment</t>
  </si>
  <si>
    <t>Coin Uzmanı</t>
  </si>
  <si>
    <r>
      <rPr>
        <b/>
        <color theme="9"/>
        <u/>
      </rPr>
      <t>X</t>
    </r>
    <r>
      <rPr>
        <b/>
        <color theme="9"/>
        <u/>
      </rPr>
      <t xml:space="preserve">, </t>
    </r>
    <r>
      <rPr>
        <b/>
        <color theme="9"/>
        <u/>
      </rPr>
      <t>Telegram</t>
    </r>
  </si>
  <si>
    <t>CoolPanda</t>
  </si>
  <si>
    <t>★★★★★</t>
  </si>
  <si>
    <t>Gaming, Education, News, Volume</t>
  </si>
  <si>
    <t>Crypto Chef</t>
  </si>
  <si>
    <r>
      <rPr>
        <b/>
        <color theme="9"/>
        <u/>
      </rPr>
      <t>X</t>
    </r>
    <r>
      <rPr>
        <b/>
        <color theme="9"/>
        <u/>
      </rPr>
      <t xml:space="preserve">, </t>
    </r>
    <r>
      <rPr>
        <b/>
        <color theme="9"/>
        <u/>
      </rPr>
      <t>Telegram</t>
    </r>
  </si>
  <si>
    <t>Volume, AirDrop, Trade</t>
  </si>
  <si>
    <t>Crypto CNR</t>
  </si>
  <si>
    <r>
      <rPr>
        <b/>
        <color theme="9"/>
        <u/>
      </rPr>
      <t>X</t>
    </r>
    <r>
      <rPr>
        <b/>
        <color theme="9"/>
        <u/>
      </rPr>
      <t xml:space="preserve">, </t>
    </r>
    <r>
      <rPr>
        <b/>
        <color theme="9"/>
        <u/>
      </rPr>
      <t>Telegram</t>
    </r>
  </si>
  <si>
    <t>Crypto Hocam</t>
  </si>
  <si>
    <t>Crypto Neo</t>
  </si>
  <si>
    <t>Brand Awaraness, News, Education, Trade</t>
  </si>
  <si>
    <t>CryptObjektif</t>
  </si>
  <si>
    <t>CryptoTurkeyFacts</t>
  </si>
  <si>
    <t>Çaylak Kriptocu</t>
  </si>
  <si>
    <t>Elit Türk</t>
  </si>
  <si>
    <t>Emre Torlak</t>
  </si>
  <si>
    <t>Brand Awaraness, Education, News</t>
  </si>
  <si>
    <t>Expert Kripto</t>
  </si>
  <si>
    <t>Expert Para</t>
  </si>
  <si>
    <t>Genzo</t>
  </si>
  <si>
    <r>
      <rPr>
        <b/>
        <color theme="9"/>
        <u/>
      </rPr>
      <t>X</t>
    </r>
    <r>
      <rPr>
        <b/>
        <color theme="9"/>
        <u/>
      </rPr>
      <t xml:space="preserve">, </t>
    </r>
    <r>
      <rPr>
        <b/>
        <color theme="9"/>
        <u/>
      </rPr>
      <t>Telegram</t>
    </r>
  </si>
  <si>
    <t>Gökhan Gark</t>
  </si>
  <si>
    <t>Hirozaki</t>
  </si>
  <si>
    <t>JessCoin</t>
  </si>
  <si>
    <t>Kadir Squirrel</t>
  </si>
  <si>
    <t>Kerim Kalender</t>
  </si>
  <si>
    <t>Education, News, Brand Awaraness, Volume</t>
  </si>
  <si>
    <t>Kripto Adam</t>
  </si>
  <si>
    <t>Kripto Gelişim</t>
  </si>
  <si>
    <t>Kripto Kafalar</t>
  </si>
  <si>
    <t>Kripto Kralı Yeniden</t>
  </si>
  <si>
    <r>
      <rPr>
        <b/>
        <color theme="9"/>
        <u/>
      </rPr>
      <t>X</t>
    </r>
    <r>
      <rPr>
        <b/>
        <color theme="9"/>
        <u/>
      </rPr>
      <t xml:space="preserve">, </t>
    </r>
    <r>
      <rPr>
        <b/>
        <color theme="9"/>
        <u/>
      </rPr>
      <t>Telegram</t>
    </r>
  </si>
  <si>
    <t>Kripto Ofis</t>
  </si>
  <si>
    <t>Kripto Sözlük</t>
  </si>
  <si>
    <t>Kriptokrat</t>
  </si>
  <si>
    <t>Invesment, Education, Trade</t>
  </si>
  <si>
    <t>KriptoliaTR</t>
  </si>
  <si>
    <t>AirDrop</t>
  </si>
  <si>
    <t>Kriptolik</t>
  </si>
  <si>
    <t>MagCoin</t>
  </si>
  <si>
    <r>
      <rPr>
        <rFont val="Roboto"/>
        <b/>
        <color theme="9"/>
        <u/>
      </rPr>
      <t>X</t>
    </r>
    <r>
      <rPr>
        <rFont val="Roboto"/>
        <b/>
        <color theme="9"/>
        <u/>
      </rPr>
      <t xml:space="preserve">, </t>
    </r>
    <r>
      <rPr>
        <rFont val="Roboto"/>
        <b/>
        <color theme="9"/>
        <u/>
      </rPr>
      <t>Telegram</t>
    </r>
  </si>
  <si>
    <t>AirDrop, Volume, News</t>
  </si>
  <si>
    <t>Para Hub</t>
  </si>
  <si>
    <t>Tarık Bilen</t>
  </si>
  <si>
    <t>Umut Aktu</t>
  </si>
  <si>
    <t>V for Kripto</t>
  </si>
  <si>
    <r>
      <rPr>
        <b/>
        <color rgb="FF144CF5"/>
        <u/>
      </rPr>
      <t>X</t>
    </r>
    <r>
      <rPr>
        <b/>
        <color rgb="FF144CF5"/>
      </rPr>
      <t>, Telegram</t>
    </r>
  </si>
  <si>
    <t>Veli Mutlu</t>
  </si>
  <si>
    <r>
      <rPr>
        <b/>
        <color theme="9"/>
        <u/>
      </rPr>
      <t>X</t>
    </r>
    <r>
      <rPr>
        <b/>
        <color theme="9"/>
        <u/>
      </rPr>
      <t xml:space="preserve">, </t>
    </r>
    <r>
      <rPr>
        <b/>
        <color theme="9"/>
        <u/>
      </rPr>
      <t>Telegram</t>
    </r>
  </si>
  <si>
    <t>PreSale, Volume</t>
  </si>
  <si>
    <t>Crypto Troia</t>
  </si>
  <si>
    <r>
      <rPr>
        <b/>
        <color rgb="FF1155CC"/>
        <u/>
      </rPr>
      <t>X</t>
    </r>
    <r>
      <rPr>
        <b/>
        <color rgb="FFCC0000"/>
        <u/>
      </rPr>
      <t xml:space="preserve">, </t>
    </r>
    <r>
      <rPr>
        <b/>
        <color rgb="FF1155CC"/>
        <u/>
      </rPr>
      <t>Telegram</t>
    </r>
  </si>
  <si>
    <t>SelCoin</t>
  </si>
  <si>
    <r>
      <rPr>
        <b/>
        <color rgb="FF1155CC"/>
        <u/>
      </rPr>
      <t>X</t>
    </r>
    <r>
      <rPr>
        <b/>
        <color rgb="FFCC0000"/>
        <u/>
      </rPr>
      <t xml:space="preserve">, </t>
    </r>
    <r>
      <rPr>
        <b/>
        <color rgb="FF1155CC"/>
        <u/>
      </rPr>
      <t>Youtube</t>
    </r>
    <r>
      <rPr>
        <b/>
        <color rgb="FFCC0000"/>
        <u/>
      </rPr>
      <t>, Buy signal</t>
    </r>
  </si>
  <si>
    <t>Cihan0x.ETH</t>
  </si>
  <si>
    <r>
      <rPr>
        <b/>
        <color rgb="FF1155CC"/>
        <u/>
      </rPr>
      <t>X</t>
    </r>
    <r>
      <rPr>
        <b/>
        <color rgb="FF1155CC"/>
        <u/>
      </rPr>
      <t xml:space="preserve">, </t>
    </r>
    <r>
      <rPr>
        <b/>
        <color rgb="FF1155CC"/>
        <u/>
      </rPr>
      <t>Telegram</t>
    </r>
    <r>
      <rPr>
        <b/>
        <color rgb="FF1155CC"/>
        <u/>
      </rPr>
      <t>, Buy signal</t>
    </r>
  </si>
  <si>
    <t>Kols</t>
  </si>
  <si>
    <t>Tier Score</t>
  </si>
  <si>
    <t>Tier Score Picture</t>
  </si>
  <si>
    <t>Category</t>
  </si>
  <si>
    <t>Agency</t>
  </si>
  <si>
    <t>İletişim</t>
  </si>
  <si>
    <t>9. sütun</t>
  </si>
  <si>
    <t>0xilhm</t>
  </si>
  <si>
    <t>https://x.com/0xilhm</t>
  </si>
  <si>
    <t>Magnor</t>
  </si>
  <si>
    <t>0xmrred</t>
  </si>
  <si>
    <t>https://x.com/0xmrred</t>
  </si>
  <si>
    <t>0XRemiss</t>
  </si>
  <si>
    <t>https://x.com/0xRemiss</t>
  </si>
  <si>
    <t>AirDrop, Brand Awaraness</t>
  </si>
  <si>
    <t>Airdrop duyuru</t>
  </si>
  <si>
    <r>
      <rPr>
        <color rgb="FF1155CC"/>
        <u/>
      </rPr>
      <t>https://t.me/AirdropTurkiyeDuyuru</t>
    </r>
  </si>
  <si>
    <t>@Raiken35 @adtemre</t>
  </si>
  <si>
    <t>AİRDROP KASANLAR DERNEĞİ(AKD)</t>
  </si>
  <si>
    <r>
      <rPr>
        <color rgb="FF1155CC"/>
        <u/>
      </rPr>
      <t>https://x.com/Airdropakd/</t>
    </r>
    <r>
      <rPr/>
      <t xml:space="preserve"> , </t>
    </r>
    <r>
      <rPr>
        <color rgb="FF1155CC"/>
        <u/>
      </rPr>
      <t>https://t.me/AKDDuyuru</t>
    </r>
  </si>
  <si>
    <t>@Kriptoakd_tr</t>
  </si>
  <si>
    <t>Ali tekin</t>
  </si>
  <si>
    <r>
      <rPr>
        <color rgb="FF1155CC"/>
        <u/>
      </rPr>
      <t>https://x.com/alitekintr?s=21</t>
    </r>
    <r>
      <rPr/>
      <t xml:space="preserve"> </t>
    </r>
  </si>
  <si>
    <t>Alpha</t>
  </si>
  <si>
    <t>https://x.com/c_alphahost</t>
  </si>
  <si>
    <t>FainEra</t>
  </si>
  <si>
    <r>
      <rPr>
        <color rgb="FF1155CC"/>
        <u/>
      </rPr>
      <t>https://x.com/altcoinrookie</t>
    </r>
    <r>
      <rPr/>
      <t xml:space="preserve"> , </t>
    </r>
    <r>
      <rPr>
        <color rgb="FF1155CC"/>
        <u/>
      </rPr>
      <t>https://t.me/Rookiesohbet</t>
    </r>
    <r>
      <rPr/>
      <t xml:space="preserve"> </t>
    </r>
  </si>
  <si>
    <t>@altcoinrookie</t>
  </si>
  <si>
    <t>Atamert Uysaler</t>
  </si>
  <si>
    <r>
      <rPr>
        <color rgb="FF1155CC"/>
        <u/>
      </rPr>
      <t>https://www.youtube.com/atamertuysaler</t>
    </r>
    <r>
      <rPr/>
      <t xml:space="preserve"> , </t>
    </r>
    <r>
      <rPr>
        <color rgb="FF1155CC"/>
        <u/>
      </rPr>
      <t>http://t.me/Atamertuysaler</t>
    </r>
    <r>
      <rPr/>
      <t xml:space="preserve"> </t>
    </r>
  </si>
  <si>
    <t>@cenkmiahmet</t>
  </si>
  <si>
    <t>B the Bloomberger</t>
  </si>
  <si>
    <r>
      <rPr>
        <color rgb="FF1155CC"/>
        <u/>
      </rPr>
      <t>https://x.com/BtBanaLiz</t>
    </r>
    <r>
      <rPr/>
      <t xml:space="preserve">  , </t>
    </r>
    <r>
      <rPr>
        <color rgb="FF1155CC"/>
        <u/>
      </rPr>
      <t>https://t.me/BtBanaliz</t>
    </r>
    <r>
      <rPr/>
      <t xml:space="preserve">  </t>
    </r>
  </si>
  <si>
    <t>Neo</t>
  </si>
  <si>
    <t>Barbie Coin</t>
  </si>
  <si>
    <t>https://x.com/barbiecoinn?s=21</t>
  </si>
  <si>
    <t>https://x.com/barisbuyuktas</t>
  </si>
  <si>
    <t>https://t.me/ReturntoTrading</t>
  </si>
  <si>
    <t>Trade, Invesment, Volume</t>
  </si>
  <si>
    <t>https://x.com/KardesBaris</t>
  </si>
  <si>
    <t>batikaneth</t>
  </si>
  <si>
    <t>https://x.com/batikaneth</t>
  </si>
  <si>
    <t>https://x.com/nuhbatuhann</t>
  </si>
  <si>
    <t>@nuhbatuhann</t>
  </si>
  <si>
    <t>Berkay Berksun</t>
  </si>
  <si>
    <r>
      <rPr>
        <color rgb="FF1155CC"/>
        <u/>
      </rPr>
      <t>https://www.youtube.com/@BerkayBerksun/videos</t>
    </r>
    <r>
      <rPr/>
      <t xml:space="preserve"> , </t>
    </r>
    <r>
      <rPr>
        <color rgb="FF1155CC"/>
        <u/>
      </rPr>
      <t>http://t.me/BBTRD</t>
    </r>
    <r>
      <rPr/>
      <t xml:space="preserve"> </t>
    </r>
  </si>
  <si>
    <t>https://x.com/Bitcoinmeraklsi</t>
  </si>
  <si>
    <t>@Bitcoinmeraklisi</t>
  </si>
  <si>
    <t>https://x.com/Bitcoinmeraklsi?ref_src=twsrc%5Egoogle%7Ctwcamp%5Eserp%7Ctwgr%5Eauthor</t>
  </si>
  <si>
    <r>
      <rPr>
        <color rgb="FF1155CC"/>
        <u/>
      </rPr>
      <t>https://x.com/borsaressami</t>
    </r>
    <r>
      <rPr/>
      <t xml:space="preserve"> , </t>
    </r>
    <r>
      <rPr>
        <color rgb="FF1155CC"/>
        <u/>
      </rPr>
      <t>https://web.telegram.org/k/#@borsaressamitelegram</t>
    </r>
  </si>
  <si>
    <t>@omerdemir7</t>
  </si>
  <si>
    <t>Bratu</t>
  </si>
  <si>
    <t>https://x.com/Braatuu</t>
  </si>
  <si>
    <t>@ustadsplinter34</t>
  </si>
  <si>
    <t>Bu Coin Nedir</t>
  </si>
  <si>
    <r>
      <rPr>
        <color rgb="FF1155CC"/>
        <u/>
      </rPr>
      <t>https://www.youtube.com/@bucoinedir</t>
    </r>
    <r>
      <rPr/>
      <t xml:space="preserve">  , </t>
    </r>
    <r>
      <rPr>
        <color rgb="FF1155CC"/>
        <u/>
      </rPr>
      <t>https://t.me/bucoinedirr</t>
    </r>
    <r>
      <rPr/>
      <t xml:space="preserve">  </t>
    </r>
  </si>
  <si>
    <t>CaglahanEth</t>
  </si>
  <si>
    <t>https://x.com/CaglahanEth</t>
  </si>
  <si>
    <t>Casanova</t>
  </si>
  <si>
    <t>https://x.com/CasanovaWeb3</t>
  </si>
  <si>
    <t>https://x.com/CemalTheMM</t>
  </si>
  <si>
    <r>
      <rPr>
        <color rgb="FF000000"/>
      </rPr>
      <t>https://x.com/cihan0xeth</t>
    </r>
    <r>
      <rPr/>
      <t xml:space="preserve"> , </t>
    </r>
    <r>
      <rPr>
        <color rgb="FF1155CC"/>
        <u/>
      </rPr>
      <t>https://t.me/KaspaTr</t>
    </r>
  </si>
  <si>
    <t>@Cihan0xETH</t>
  </si>
  <si>
    <t>https://twitter.com/cihan0xeth</t>
  </si>
  <si>
    <t>Coin agend</t>
  </si>
  <si>
    <t>https://twitter.com/coinagend</t>
  </si>
  <si>
    <t>Coin Hunters</t>
  </si>
  <si>
    <r>
      <rPr>
        <color rgb="FF1155CC"/>
        <u/>
      </rPr>
      <t>https://www.youtube.com/@CoinHuntersTR/videos</t>
    </r>
    <r>
      <rPr/>
      <t xml:space="preserve">  , </t>
    </r>
    <r>
      <rPr>
        <color rgb="FF1155CC"/>
        <u/>
      </rPr>
      <t>http://t.me/coinhunterstr</t>
    </r>
    <r>
      <rPr/>
      <t xml:space="preserve">  </t>
    </r>
  </si>
  <si>
    <t>@OneHundredEyez</t>
  </si>
  <si>
    <r>
      <rPr>
        <color rgb="FF1155CC"/>
        <u/>
      </rPr>
      <t>https://x.com/coinuzmann</t>
    </r>
    <r>
      <rPr/>
      <t xml:space="preserve"> , </t>
    </r>
    <r>
      <rPr>
        <color rgb="FF1155CC"/>
        <u/>
      </rPr>
      <t>https://t.me/coinuzmann</t>
    </r>
  </si>
  <si>
    <t>coinkritik</t>
  </si>
  <si>
    <t>https://x.com/coinkritik</t>
  </si>
  <si>
    <t>https://x.com/0xCoolPanda</t>
  </si>
  <si>
    <r>
      <rPr>
        <color rgb="FF434343"/>
        <u/>
      </rPr>
      <t>https://x.com/KriptoChef</t>
    </r>
    <r>
      <rPr>
        <color rgb="FF000000"/>
      </rPr>
      <t xml:space="preserve">, </t>
    </r>
    <r>
      <rPr>
        <color rgb="FF1155CC"/>
        <u/>
      </rPr>
      <t>https://t.me/+C1KnLM_PEz04Zjg0</t>
    </r>
  </si>
  <si>
    <t>@KriptoChef</t>
  </si>
  <si>
    <r>
      <rPr>
        <color rgb="FF1155CC"/>
        <u/>
      </rPr>
      <t>https://x.com/CryptoCNR</t>
    </r>
    <r>
      <rPr/>
      <t xml:space="preserve"> , </t>
    </r>
    <r>
      <rPr>
        <color rgb="FF1155CC"/>
        <u/>
      </rPr>
      <t>https://t.me/CNRtrade</t>
    </r>
    <r>
      <rPr/>
      <t xml:space="preserve"> </t>
    </r>
  </si>
  <si>
    <t>Crypto Epoch</t>
  </si>
  <si>
    <r>
      <rPr>
        <color rgb="FF1155CC"/>
        <u/>
      </rPr>
      <t>https://www.youtube.com/@cryptoepoch/videos</t>
    </r>
    <r>
      <rPr/>
      <t xml:space="preserve">  , </t>
    </r>
    <r>
      <rPr>
        <color rgb="FF1155CC"/>
        <u/>
      </rPr>
      <t>http://t.me/cryptoepochchannell</t>
    </r>
    <r>
      <rPr/>
      <t xml:space="preserve">  </t>
    </r>
  </si>
  <si>
    <r>
      <rPr>
        <color rgb="FF1155CC"/>
        <u/>
      </rPr>
      <t>https://www.youtube.com/@CryptoHocam/videos</t>
    </r>
    <r>
      <rPr/>
      <t xml:space="preserve"> , </t>
    </r>
    <r>
      <rPr>
        <color rgb="FF1155CC"/>
        <u/>
      </rPr>
      <t>http://t.me/CRYPTOHOCAM1</t>
    </r>
    <r>
      <rPr/>
      <t xml:space="preserve"> </t>
    </r>
  </si>
  <si>
    <t>@CRYPTOHOCAM1</t>
  </si>
  <si>
    <t>Crypto Maker</t>
  </si>
  <si>
    <t xml:space="preserve">https://www.youtube.com/@makercrypto/videos </t>
  </si>
  <si>
    <t>https://x.com/CryptoNeoo</t>
  </si>
  <si>
    <t>@Crypto_Neooo</t>
  </si>
  <si>
    <t>crypto oğuz</t>
  </si>
  <si>
    <t xml:space="preserve">https://x.com/CryptOguuz , </t>
  </si>
  <si>
    <t>@Crypto_Oguz</t>
  </si>
  <si>
    <t>Crypto ScarFace</t>
  </si>
  <si>
    <t>https://t.me/ByScarFacee</t>
  </si>
  <si>
    <r>
      <rPr>
        <color rgb="FF1155CC"/>
        <u/>
      </rPr>
      <t>https://x.com/CryptoTroia</t>
    </r>
    <r>
      <rPr/>
      <t xml:space="preserve"> , </t>
    </r>
    <r>
      <rPr>
        <color rgb="FF1155CC"/>
        <u/>
      </rPr>
      <t>https://t.me/cryptotroia</t>
    </r>
    <r>
      <rPr/>
      <t xml:space="preserve"> </t>
    </r>
  </si>
  <si>
    <t>cryptoaty</t>
  </si>
  <si>
    <r>
      <rPr>
        <color rgb="FF1155CC"/>
        <u/>
      </rPr>
      <t>https://t.me/cryptoaty</t>
    </r>
    <r>
      <rPr/>
      <t xml:space="preserve"> , https://twitter.com/cryptoaty</t>
    </r>
  </si>
  <si>
    <t>https://x.com/CryptObjektiff</t>
  </si>
  <si>
    <t>CryptoIDO</t>
  </si>
  <si>
    <r>
      <rPr>
        <color rgb="FF1155CC"/>
        <u/>
      </rPr>
      <t>https://www.youtube.com/@CRYTPOIDO/featured</t>
    </r>
    <r>
      <rPr/>
      <t xml:space="preserve"> , </t>
    </r>
    <r>
      <rPr>
        <color rgb="FF1155CC"/>
        <u/>
      </rPr>
      <t>https://x.com/cryptoid0</t>
    </r>
  </si>
  <si>
    <t>CryptoLFT</t>
  </si>
  <si>
    <t>https://x.com/cryptolft</t>
  </si>
  <si>
    <r>
      <rPr>
        <color rgb="FF434343"/>
        <u/>
      </rPr>
      <t>https://x.com/cryptotrfacts</t>
    </r>
    <r>
      <rPr>
        <color rgb="FF000000"/>
      </rPr>
      <t xml:space="preserve"> , </t>
    </r>
    <r>
      <rPr>
        <color rgb="FF1155CC"/>
        <u/>
      </rPr>
      <t>https://t.me/cryptotrfacts</t>
    </r>
  </si>
  <si>
    <r>
      <rPr>
        <color rgb="FF1155CC"/>
        <u/>
      </rPr>
      <t>https://www.youtube.com/c/caylakkriptocu?app=desktop</t>
    </r>
    <r>
      <rPr/>
      <t xml:space="preserve">  , </t>
    </r>
    <r>
      <rPr>
        <color rgb="FF1155CC"/>
        <u/>
      </rPr>
      <t>http://t.me/caylakkriptocu</t>
    </r>
    <r>
      <rPr/>
      <t xml:space="preserve">  </t>
    </r>
  </si>
  <si>
    <t>@caylaktt</t>
  </si>
  <si>
    <t>Doktor</t>
  </si>
  <si>
    <r>
      <rPr>
        <color rgb="FF1155CC"/>
        <u/>
      </rPr>
      <t>https://x.com/coindoktorunuz</t>
    </r>
    <r>
      <rPr/>
      <t xml:space="preserve"> , </t>
    </r>
    <r>
      <rPr>
        <color rgb="FF1155CC"/>
        <u/>
      </rPr>
      <t>https://t.me/coindoktorunuzresmi</t>
    </r>
  </si>
  <si>
    <t xml:space="preserve">Elif </t>
  </si>
  <si>
    <t>https://x.com/CryptoEliif</t>
  </si>
  <si>
    <r>
      <rPr>
        <color rgb="FF1155CC"/>
        <u/>
      </rPr>
      <t>https://www.youtube.com/@ElitTurk/videos</t>
    </r>
    <r>
      <rPr/>
      <t xml:space="preserve"> , </t>
    </r>
    <r>
      <rPr>
        <color rgb="FF1155CC"/>
        <u/>
      </rPr>
      <t>https://x.com/TurkElit</t>
    </r>
  </si>
  <si>
    <t>Markchain</t>
  </si>
  <si>
    <t>https://x.com/locksmithcrypto</t>
  </si>
  <si>
    <t>@Legolas311</t>
  </si>
  <si>
    <t>Engineer Trader</t>
  </si>
  <si>
    <t xml:space="preserve">https://x.com/engineer_trader?s=21 </t>
  </si>
  <si>
    <t>@EngineerTraderr</t>
  </si>
  <si>
    <r>
      <rPr>
        <color rgb="FF1155CC"/>
        <u/>
      </rPr>
      <t>https://www.youtube.com/@ExpertKripto/videos</t>
    </r>
    <r>
      <rPr/>
      <t xml:space="preserve"> , </t>
    </r>
    <r>
      <rPr>
        <color rgb="FF1155CC"/>
        <u/>
      </rPr>
      <t>https://t.me/expertkriptotelegram</t>
    </r>
    <r>
      <rPr/>
      <t xml:space="preserve"> </t>
    </r>
  </si>
  <si>
    <t>@expert_kripto</t>
  </si>
  <si>
    <r>
      <rPr>
        <color rgb="FF1155CC"/>
        <u/>
      </rPr>
      <t>https://www.youtube.com/@ExpertPara</t>
    </r>
    <r>
      <rPr/>
      <t xml:space="preserve"> </t>
    </r>
  </si>
  <si>
    <t>@crypto_expert_para</t>
  </si>
  <si>
    <t xml:space="preserve">Fatih </t>
  </si>
  <si>
    <r>
      <rPr>
        <rFont val="Calibri, sans-serif"/>
        <color rgb="FF1155CC"/>
        <sz val="11.0"/>
        <u/>
      </rPr>
      <t>https://x.com/kriptofati</t>
    </r>
  </si>
  <si>
    <t>Fersah</t>
  </si>
  <si>
    <t>https://x.com/0xfersah</t>
  </si>
  <si>
    <t>Fit Trader</t>
  </si>
  <si>
    <r>
      <rPr>
        <color rgb="FF1155CC"/>
        <u/>
      </rPr>
      <t>https://x.com/Mkar34</t>
    </r>
    <r>
      <rPr/>
      <t xml:space="preserve"> , </t>
    </r>
    <r>
      <rPr>
        <color rgb="FF1155CC"/>
        <u/>
      </rPr>
      <t>https://web.telegram.org/k/#@fitmiyiz</t>
    </r>
  </si>
  <si>
    <t>Foxy</t>
  </si>
  <si>
    <t>https://x.com/Foxyyeth</t>
  </si>
  <si>
    <t>Genel Patron01</t>
  </si>
  <si>
    <r>
      <rPr>
        <color rgb="FF1155CC"/>
        <u/>
      </rPr>
      <t>https://twitter.com/genelpatron01</t>
    </r>
    <r>
      <rPr/>
      <t xml:space="preserve"> , </t>
    </r>
    <r>
      <rPr>
        <color rgb="FF1155CC"/>
        <u/>
      </rPr>
      <t>https://t.me/genelpatron</t>
    </r>
  </si>
  <si>
    <t>@Genelpatron_01</t>
  </si>
  <si>
    <t>https://twitter.com/CryptoGenzo , https://t.me/CoinGenzo</t>
  </si>
  <si>
    <t>@CryptoGenzo</t>
  </si>
  <si>
    <t>Gökhan</t>
  </si>
  <si>
    <t>https://x.com/mgokhanduman</t>
  </si>
  <si>
    <t>https://x.com/GokhanGark</t>
  </si>
  <si>
    <t>Han.eth</t>
  </si>
  <si>
    <r>
      <rPr>
        <color rgb="FF1155CC"/>
        <u/>
      </rPr>
      <t>https://x.com/hanturksc</t>
    </r>
    <r>
      <rPr/>
      <t xml:space="preserve"> , </t>
    </r>
    <r>
      <rPr>
        <color rgb="FF1155CC"/>
        <u/>
      </rPr>
      <t>https://t.me/Kriptohantr</t>
    </r>
    <r>
      <rPr/>
      <t xml:space="preserve"> </t>
    </r>
  </si>
  <si>
    <t>Hasan</t>
  </si>
  <si>
    <r>
      <rPr>
        <rFont val="Calibri, sans-serif"/>
        <color rgb="FF1155CC"/>
        <sz val="11.0"/>
        <u/>
      </rPr>
      <t>https://x.com/hasanankatr</t>
    </r>
  </si>
  <si>
    <t>Hassoyal medya</t>
  </si>
  <si>
    <t>https://x.com/HASOsyalmedya</t>
  </si>
  <si>
    <t>HeatleyETH</t>
  </si>
  <si>
    <t>https://x.com/HeathleyETH</t>
  </si>
  <si>
    <t>https://x.com/hirozaki2020</t>
  </si>
  <si>
    <t>Emir</t>
  </si>
  <si>
    <t>howtousecrypto</t>
  </si>
  <si>
    <t>https://x.com/howtousecrypto</t>
  </si>
  <si>
    <t>Hunter'ın Sol Kolu</t>
  </si>
  <si>
    <t>https://x.com/doruk1st</t>
  </si>
  <si>
    <t>News, AirDrop, Brand Awaraness</t>
  </si>
  <si>
    <t>@doruk1st</t>
  </si>
  <si>
    <t>İrfan</t>
  </si>
  <si>
    <t>https://x.com/xbtirfan</t>
  </si>
  <si>
    <t>https://twitter.com/jesscoin</t>
  </si>
  <si>
    <t>@CoinJess</t>
  </si>
  <si>
    <r>
      <rPr>
        <color rgb="FF1155CC"/>
        <u/>
      </rPr>
      <t>https://www.youtube.com/@KadirSquirrel</t>
    </r>
    <r>
      <rPr/>
      <t xml:space="preserve"> , </t>
    </r>
    <r>
      <rPr>
        <color rgb="FF1155CC"/>
        <u/>
      </rPr>
      <t>http://t.me/kadirsquirrel</t>
    </r>
    <r>
      <rPr/>
      <t xml:space="preserve"> </t>
    </r>
  </si>
  <si>
    <t>Kahin</t>
  </si>
  <si>
    <t>https://x.com/cryptokahin</t>
  </si>
  <si>
    <t>https://x.com/kerimcalender</t>
  </si>
  <si>
    <t>Koin Saati</t>
  </si>
  <si>
    <r>
      <rPr>
        <color rgb="FF1155CC"/>
        <u/>
      </rPr>
      <t>https://x.com/KoinSaati?ref_src=twsrc%5Egoogle%7Ctwcamp%5Eserp%7Ctwgr%5Eauthor</t>
    </r>
    <r>
      <rPr/>
      <t xml:space="preserve"> , </t>
    </r>
    <r>
      <rPr>
        <color rgb="FF1155CC"/>
        <u/>
      </rPr>
      <t>https://t.me/koinsaati</t>
    </r>
    <r>
      <rPr/>
      <t xml:space="preserve"> , </t>
    </r>
    <r>
      <rPr>
        <color rgb="FF1155CC"/>
        <u/>
      </rPr>
      <t>https://www.youtube.com/@KoinSaati</t>
    </r>
    <r>
      <rPr/>
      <t xml:space="preserve"> </t>
    </r>
  </si>
  <si>
    <t>Kripto Cem</t>
  </si>
  <si>
    <t>https://x.com/kripto_cem</t>
  </si>
  <si>
    <t>Kripto Efsanesi</t>
  </si>
  <si>
    <t>https://x.com/KriptoEfsanesi</t>
  </si>
  <si>
    <r>
      <rPr>
        <color rgb="FF1155CC"/>
        <u/>
      </rPr>
      <t>https://www.youtube.com/user/iakgun28101993</t>
    </r>
    <r>
      <rPr/>
      <t xml:space="preserve"> , </t>
    </r>
    <r>
      <rPr>
        <color rgb="FF1155CC"/>
        <u/>
      </rPr>
      <t>http://t.me/kriptogelisim</t>
    </r>
    <r>
      <rPr/>
      <t xml:space="preserve"> , </t>
    </r>
    <r>
      <rPr>
        <color rgb="FF1155CC"/>
        <u/>
      </rPr>
      <t>https://x.com/kriptogelisim</t>
    </r>
  </si>
  <si>
    <t>@ALPERcrypto</t>
  </si>
  <si>
    <t>Kripto Hayalet</t>
  </si>
  <si>
    <r>
      <rPr>
        <color rgb="FF1155CC"/>
        <u/>
      </rPr>
      <t>https://x.com/Kripto_HaYalet</t>
    </r>
    <r>
      <rPr/>
      <t xml:space="preserve"> </t>
    </r>
  </si>
  <si>
    <t>@KriptoHaYalet</t>
  </si>
  <si>
    <t>Kripto Holder</t>
  </si>
  <si>
    <t>https://x.com/kriptoholder</t>
  </si>
  <si>
    <r>
      <rPr>
        <color rgb="FF1155CC"/>
        <u/>
      </rPr>
      <t>https://www.youtube.com/@KriptoKafalar</t>
    </r>
    <r>
      <rPr/>
      <t xml:space="preserve"> , </t>
    </r>
    <r>
      <rPr>
        <color rgb="FF1155CC"/>
        <u/>
      </rPr>
      <t>http://t.me/addlist/IYwGmiNn6Ng1NGJk</t>
    </r>
    <r>
      <rPr/>
      <t xml:space="preserve"> </t>
    </r>
  </si>
  <si>
    <t>@MertCaner</t>
  </si>
  <si>
    <t>Kripto Kahin</t>
  </si>
  <si>
    <t>https://x.com/kahincryptocu</t>
  </si>
  <si>
    <t>@KriptoKahinn</t>
  </si>
  <si>
    <r>
      <rPr>
        <color rgb="FF434343"/>
        <u/>
      </rPr>
      <t>https://x.com/kriptokraliyeni</t>
    </r>
    <r>
      <rPr>
        <color rgb="FF000000"/>
      </rPr>
      <t xml:space="preserve">, </t>
    </r>
    <r>
      <rPr>
        <color rgb="FF1155CC"/>
        <u/>
      </rPr>
      <t>https://t.me/+0-PP8sP3XkJlOTI0</t>
    </r>
  </si>
  <si>
    <t>Kripto Nedir?</t>
  </si>
  <si>
    <r>
      <rPr>
        <color rgb="FF1155CC"/>
        <u/>
      </rPr>
      <t>https://www.youtube.com/@KriptoNedir/featured</t>
    </r>
    <r>
      <rPr/>
      <t xml:space="preserve"> , </t>
    </r>
    <r>
      <rPr>
        <color rgb="FF1155CC"/>
        <u/>
      </rPr>
      <t>http://t.me/Cryptolkm</t>
    </r>
    <r>
      <rPr/>
      <t xml:space="preserve"> </t>
    </r>
  </si>
  <si>
    <r>
      <rPr>
        <color rgb="FF1155CC"/>
        <u/>
      </rPr>
      <t>https://www.youtube.com/@kriptoofis</t>
    </r>
    <r>
      <rPr/>
      <t xml:space="preserve"> , </t>
    </r>
    <r>
      <rPr>
        <color rgb="FF1155CC"/>
        <u/>
      </rPr>
      <t>http://t.me/kriptoofisresmi</t>
    </r>
    <r>
      <rPr/>
      <t xml:space="preserve"> </t>
    </r>
  </si>
  <si>
    <t>@mesut_ivy</t>
  </si>
  <si>
    <r>
      <rPr>
        <color rgb="FF434343"/>
        <u/>
      </rPr>
      <t>https://www.youtube.com/@KriptoSozluk</t>
    </r>
    <r>
      <rPr>
        <color rgb="FF000000"/>
      </rPr>
      <t xml:space="preserve">, </t>
    </r>
    <r>
      <rPr>
        <color rgb="FF1155CC"/>
        <u/>
      </rPr>
      <t>tiktok.com/@kriptosozluk</t>
    </r>
    <r>
      <rPr>
        <color rgb="FF000000"/>
      </rPr>
      <t xml:space="preserve"> , </t>
    </r>
    <r>
      <rPr>
        <color rgb="FF1155CC"/>
        <u/>
      </rPr>
      <t>t.me/KriptoSozlukTVPiyasaMuhabbeti</t>
    </r>
    <r>
      <rPr>
        <color rgb="FF000000"/>
      </rPr>
      <t xml:space="preserve"> , </t>
    </r>
    <r>
      <rPr>
        <color rgb="FF1155CC"/>
        <u/>
      </rPr>
      <t>twitter.com/KriptoSozlukTV</t>
    </r>
    <r>
      <rPr>
        <color rgb="FF000000"/>
      </rPr>
      <t xml:space="preserve">  </t>
    </r>
  </si>
  <si>
    <t>Kripto Warrior</t>
  </si>
  <si>
    <t>https://x.com/kriptowarrior</t>
  </si>
  <si>
    <t>Kripto Zenci</t>
  </si>
  <si>
    <r>
      <rPr>
        <color rgb="FF000000"/>
      </rPr>
      <t>https://x.com/kriptozenciii</t>
    </r>
    <r>
      <rPr/>
      <t xml:space="preserve"> , </t>
    </r>
    <r>
      <rPr>
        <color rgb="FF1155CC"/>
        <u/>
      </rPr>
      <t>https://t.me/+8heC9mqk7y00ODI0</t>
    </r>
  </si>
  <si>
    <t>Kriptobi</t>
  </si>
  <si>
    <r>
      <rPr>
        <color rgb="FF434343"/>
        <u/>
      </rPr>
      <t>https://x.com/kriptobi</t>
    </r>
    <r>
      <rPr>
        <color rgb="FF000000"/>
      </rPr>
      <t xml:space="preserve"> , </t>
    </r>
    <r>
      <rPr>
        <color rgb="FF1155CC"/>
        <u/>
      </rPr>
      <t>https://t.me/kriptobiduyuru</t>
    </r>
    <r>
      <rPr>
        <color rgb="FF000000"/>
      </rPr>
      <t xml:space="preserve"> </t>
    </r>
  </si>
  <si>
    <t>@KriptobiCM</t>
  </si>
  <si>
    <t>KriptoBlue</t>
  </si>
  <si>
    <t>https://x.com/lKriptoBluel</t>
  </si>
  <si>
    <t>https://x.com/kriptokrat5</t>
  </si>
  <si>
    <t>@kriptokrat01</t>
  </si>
  <si>
    <t>https://x.com/KriptoliaTR</t>
  </si>
  <si>
    <r>
      <rPr>
        <color rgb="FF1155CC"/>
        <u/>
      </rPr>
      <t>https://x.com/theKriptolik</t>
    </r>
    <r>
      <rPr/>
      <t xml:space="preserve"> , </t>
    </r>
    <r>
      <rPr>
        <color rgb="FF1155CC"/>
        <u/>
      </rPr>
      <t>https://t.me/theKriptolik</t>
    </r>
  </si>
  <si>
    <t>@Kriptolik1</t>
  </si>
  <si>
    <t>KriptoLisa</t>
  </si>
  <si>
    <t>https://x.com/KriptoLisa</t>
  </si>
  <si>
    <t>Kriptoloki</t>
  </si>
  <si>
    <t>https://x.com/kriptoloki/status/1962579658211230189</t>
  </si>
  <si>
    <t>Kripton</t>
  </si>
  <si>
    <t>https://x.com/kriptoman0</t>
  </si>
  <si>
    <t>@kripton0</t>
  </si>
  <si>
    <t>kuzey durden</t>
  </si>
  <si>
    <r>
      <rPr>
        <color rgb="FF1155CC"/>
        <u/>
      </rPr>
      <t>https://x.com/islakwcterlii</t>
    </r>
    <r>
      <rPr/>
      <t xml:space="preserve"> , </t>
    </r>
    <r>
      <rPr>
        <color rgb="FF1155CC"/>
        <u/>
      </rPr>
      <t>https://t.me/kuzeydurdenduyuru</t>
    </r>
    <r>
      <rPr/>
      <t xml:space="preserve"> , https://www.youtube.com/@kuzeydurden</t>
    </r>
  </si>
  <si>
    <t>Lcasa</t>
  </si>
  <si>
    <r>
      <rPr>
        <rFont val="Calibri, sans-serif"/>
        <color rgb="FF1155CC"/>
        <sz val="11.0"/>
        <u/>
      </rPr>
      <t>https://x.com/cryptolacasa</t>
    </r>
  </si>
  <si>
    <t>Legolas</t>
  </si>
  <si>
    <t>https://x.com/CryptoLego0311</t>
  </si>
  <si>
    <t>AirDrop, News, Education, Gaming</t>
  </si>
  <si>
    <t>Lord of Crypto</t>
  </si>
  <si>
    <t>https://x.com/lord_of_crypto_</t>
  </si>
  <si>
    <r>
      <rPr>
        <color rgb="FF434343"/>
        <u/>
      </rPr>
      <t>https://twitter.com/btcoinmag</t>
    </r>
    <r>
      <rPr>
        <color rgb="FF000000"/>
      </rPr>
      <t xml:space="preserve"> , </t>
    </r>
    <r>
      <rPr>
        <color rgb="FF1155CC"/>
        <u/>
      </rPr>
      <t>https://t.me/crpyomag</t>
    </r>
    <r>
      <rPr>
        <color rgb="FF000000"/>
      </rPr>
      <t xml:space="preserve"> </t>
    </r>
  </si>
  <si>
    <t>MAMcrypto</t>
  </si>
  <si>
    <t>https://x.com/mamiicrypto , https://t.me/MAM_crypto</t>
  </si>
  <si>
    <t>Melik Berşah</t>
  </si>
  <si>
    <r>
      <rPr>
        <color rgb="FF1155CC"/>
        <u/>
      </rPr>
      <t>https://www.youtube.com/@melikbersah</t>
    </r>
    <r>
      <rPr/>
      <t xml:space="preserve"> , </t>
    </r>
    <r>
      <rPr>
        <color rgb="FF1155CC"/>
        <u/>
      </rPr>
      <t>http://t.me/melikbersah</t>
    </r>
    <r>
      <rPr/>
      <t xml:space="preserve"> </t>
    </r>
  </si>
  <si>
    <t>@MelikBersahYoutube</t>
  </si>
  <si>
    <t>Meric</t>
  </si>
  <si>
    <r>
      <rPr>
        <rFont val="Calibri, sans-serif"/>
        <color rgb="FF1155CC"/>
        <sz val="11.0"/>
        <u/>
      </rPr>
      <t>https://x.com/mericfi</t>
    </r>
  </si>
  <si>
    <t>MESGO</t>
  </si>
  <si>
    <r>
      <rPr>
        <color rgb="FF1155CC"/>
        <u/>
      </rPr>
      <t>https://x.com/mesgo_</t>
    </r>
    <r>
      <rPr/>
      <t xml:space="preserve"> </t>
    </r>
  </si>
  <si>
    <t>Mete</t>
  </si>
  <si>
    <t>https://x.com/kriptomete_</t>
  </si>
  <si>
    <t>Milyoner zihin</t>
  </si>
  <si>
    <r>
      <rPr>
        <color rgb="FF1155CC"/>
        <u/>
      </rPr>
      <t>https://x.com/milyonerzihin</t>
    </r>
    <r>
      <rPr/>
      <t xml:space="preserve">  , </t>
    </r>
    <r>
      <rPr>
        <color rgb="FF1155CC"/>
        <u/>
      </rPr>
      <t>https://t.me/cryptohakantg</t>
    </r>
    <r>
      <rPr/>
      <t xml:space="preserve">  </t>
    </r>
  </si>
  <si>
    <t>MMTÜRK(ALAYLI)</t>
  </si>
  <si>
    <t>https://x.com/muratmmturk</t>
  </si>
  <si>
    <t>Monte Kripto Kontu</t>
  </si>
  <si>
    <r>
      <rPr>
        <color rgb="FF1155CC"/>
        <u/>
      </rPr>
      <t>https://www.youtube.com/@MonteKriptoKontu</t>
    </r>
    <r>
      <rPr/>
      <t xml:space="preserve"> , </t>
    </r>
    <r>
      <rPr>
        <color rgb="FF1155CC"/>
        <u/>
      </rPr>
      <t>https://t.me/MonteKriptoKontuDuyuru</t>
    </r>
    <r>
      <rPr/>
      <t xml:space="preserve"> </t>
    </r>
  </si>
  <si>
    <t>Ömer</t>
  </si>
  <si>
    <t>Nftmüfettisi</t>
  </si>
  <si>
    <t>https://x.com/nftmufettisi</t>
  </si>
  <si>
    <t>AirDrop, Brand Awaraness, News</t>
  </si>
  <si>
    <t>NikkiSixx7</t>
  </si>
  <si>
    <t>https://x.com/NikkiSixx_7</t>
  </si>
  <si>
    <t>Oğuzhan</t>
  </si>
  <si>
    <t>https://x.com/oguzhantaskran</t>
  </si>
  <si>
    <t>omer</t>
  </si>
  <si>
    <r>
      <rPr>
        <rFont val="Calibri, sans-serif"/>
        <color rgb="FF1155CC"/>
        <sz val="11.0"/>
        <u/>
      </rPr>
      <t>https://twitter.com/godofgem</t>
    </r>
  </si>
  <si>
    <t>onderyazici</t>
  </si>
  <si>
    <t>https://x.com/onderyazici</t>
  </si>
  <si>
    <t>ortegas</t>
  </si>
  <si>
    <t>https://twitter.com/OrtegasCrypto</t>
  </si>
  <si>
    <t>@ortegascrypto</t>
  </si>
  <si>
    <t>Ozi aka brrrrrr</t>
  </si>
  <si>
    <r>
      <rPr>
        <color rgb="FF1155CC"/>
        <u/>
      </rPr>
      <t>https://twitter.com/0xOziK</t>
    </r>
    <r>
      <rPr/>
      <t xml:space="preserve">  , </t>
    </r>
    <r>
      <rPr>
        <color rgb="FF1155CC"/>
        <u/>
      </rPr>
      <t>http://t.me/Ozithe0xkanali</t>
    </r>
    <r>
      <rPr/>
      <t xml:space="preserve"> </t>
    </r>
  </si>
  <si>
    <t>@ozithe0x</t>
  </si>
  <si>
    <t>P A N D A</t>
  </si>
  <si>
    <r>
      <rPr>
        <color rgb="FF1155CC"/>
        <u/>
      </rPr>
      <t>http://x.com/0xpandasol</t>
    </r>
  </si>
  <si>
    <t>PABLO</t>
  </si>
  <si>
    <t>https://x.com/PabloXbtc?t=xlwuBsH0c16RleceUik2Jg&amp;s=09</t>
  </si>
  <si>
    <r>
      <rPr>
        <color rgb="FF1155CC"/>
        <u/>
      </rPr>
      <t>https://www.youtube.com/@para_hub</t>
    </r>
    <r>
      <rPr/>
      <t xml:space="preserve"> </t>
    </r>
  </si>
  <si>
    <t>@tarikbln</t>
  </si>
  <si>
    <t>Paradoks</t>
  </si>
  <si>
    <r>
      <rPr>
        <color rgb="FF1155CC"/>
        <u/>
      </rPr>
      <t>https://x.com/by_paradoks</t>
    </r>
    <r>
      <rPr/>
      <t xml:space="preserve"> , </t>
    </r>
    <r>
      <rPr>
        <color rgb="FF1155CC"/>
        <u/>
      </rPr>
      <t>http://t.me/westanaliztg</t>
    </r>
    <r>
      <rPr/>
      <t xml:space="preserve"> </t>
    </r>
  </si>
  <si>
    <t>Paradotor</t>
  </si>
  <si>
    <t>https://x.com/eness_turann</t>
  </si>
  <si>
    <t>Pland</t>
  </si>
  <si>
    <t>https://twitter.com/cryptododo7</t>
  </si>
  <si>
    <t>Rockerfeller</t>
  </si>
  <si>
    <r>
      <rPr>
        <color rgb="FF1155CC"/>
        <u/>
      </rPr>
      <t>https://x.com/rockerfellerxau</t>
    </r>
    <r>
      <rPr/>
      <t xml:space="preserve"> , </t>
    </r>
    <r>
      <rPr>
        <color rgb="FF1155CC"/>
        <u/>
      </rPr>
      <t>https://t.me/alsatsinyalrock</t>
    </r>
    <r>
      <rPr/>
      <t xml:space="preserve"> </t>
    </r>
  </si>
  <si>
    <t>Satoshi'nin Kuzeni</t>
  </si>
  <si>
    <t>https://x.com/kuzisatoshinin</t>
  </si>
  <si>
    <t>Gaming, Education, Brand Awaraness</t>
  </si>
  <si>
    <t>@SatoshininKuzeni</t>
  </si>
  <si>
    <r>
      <rPr>
        <color rgb="FF434343"/>
        <u/>
      </rPr>
      <t>https://x.com/Selcoin</t>
    </r>
    <r>
      <rPr>
        <color rgb="FF000000"/>
      </rPr>
      <t xml:space="preserve"> , </t>
    </r>
    <r>
      <rPr>
        <color rgb="FF1155CC"/>
        <u/>
      </rPr>
      <t>https://www.youtube.com/@Selcoin</t>
    </r>
  </si>
  <si>
    <t>Sercan YILDIZ</t>
  </si>
  <si>
    <t>https://x.com/Kriptomaniaca?t=wrDpjIGY8dLZkd2S4_9zxw&amp;s=09</t>
  </si>
  <si>
    <t>sinavkk</t>
  </si>
  <si>
    <t>https://x.com/sinavkk</t>
  </si>
  <si>
    <t>Şener</t>
  </si>
  <si>
    <t>https://x.com/CryptooSeneR</t>
  </si>
  <si>
    <t>Şeyma</t>
  </si>
  <si>
    <t>https://x.com/traderseyma</t>
  </si>
  <si>
    <r>
      <rPr>
        <color rgb="FF1155CC"/>
        <u/>
      </rPr>
      <t>https://www.youtube.com/@tarikbilenn</t>
    </r>
    <r>
      <rPr/>
      <t xml:space="preserve"> , </t>
    </r>
    <r>
      <rPr>
        <color rgb="FF1155CC"/>
        <u/>
      </rPr>
      <t>https://t.me/tarikbln</t>
    </r>
    <r>
      <rPr/>
      <t xml:space="preserve"> </t>
    </r>
  </si>
  <si>
    <t>Tarık Eroğlu</t>
  </si>
  <si>
    <t>https://x.com/profesorishere</t>
  </si>
  <si>
    <t>Teknikci Hoca</t>
  </si>
  <si>
    <t>https://x.com/teknikcihoca</t>
  </si>
  <si>
    <t>Tufanoglu</t>
  </si>
  <si>
    <t>https://x.com/Tufanoglu_</t>
  </si>
  <si>
    <t>@tufanoglu</t>
  </si>
  <si>
    <t>Tuğsan Gökgöz</t>
  </si>
  <si>
    <r>
      <rPr>
        <color rgb="FF1155CC"/>
        <u/>
      </rPr>
      <t>https://x.com/tugsangokgoz</t>
    </r>
    <r>
      <rPr/>
      <t xml:space="preserve"> , </t>
    </r>
    <r>
      <rPr>
        <color rgb="FF1155CC"/>
        <u/>
      </rPr>
      <t>https://t.me/cryptojordanofficial</t>
    </r>
  </si>
  <si>
    <t>@JordanBullsCoin</t>
  </si>
  <si>
    <t>Türkmen</t>
  </si>
  <si>
    <t>https://x.com/profesorturkmen</t>
  </si>
  <si>
    <r>
      <rPr>
        <color rgb="FF1155CC"/>
        <u/>
      </rPr>
      <t>https://www.youtube.com/@UmutAktuKripto</t>
    </r>
    <r>
      <rPr/>
      <t xml:space="preserve"> , </t>
    </r>
    <r>
      <rPr>
        <color rgb="FF1155CC"/>
        <u/>
      </rPr>
      <t>https://t.me/UmutAktu</t>
    </r>
    <r>
      <rPr/>
      <t xml:space="preserve"> , </t>
    </r>
    <r>
      <rPr>
        <color rgb="FF1155CC"/>
        <u/>
      </rPr>
      <t>https://x.com/UmutAktu?ref_src=twsrc%5Egoogle%7Ctwcamp%5Eserp%7Ctwgr%5Eauthor</t>
    </r>
    <r>
      <rPr/>
      <t xml:space="preserve"> </t>
    </r>
  </si>
  <si>
    <t>@Umutt1111</t>
  </si>
  <si>
    <t>Umut ninja</t>
  </si>
  <si>
    <r>
      <rPr>
        <rFont val="Calibri, sans-serif"/>
        <color rgb="FF1155CC"/>
        <sz val="11.0"/>
        <u/>
      </rPr>
      <t>https://x.com/umutak47shawty</t>
    </r>
  </si>
  <si>
    <t>Üstad Splinter</t>
  </si>
  <si>
    <t>https://x.com/ustadsplinter34</t>
  </si>
  <si>
    <t>Invesment, Brand Awaraness, Education</t>
  </si>
  <si>
    <t>https://x.com/Vforrkripto</t>
  </si>
  <si>
    <t>Valle</t>
  </si>
  <si>
    <t>https://twitter.com/cryptovalle0</t>
  </si>
  <si>
    <t>Gaming, Brand Awaraness, News</t>
  </si>
  <si>
    <t>Velanor</t>
  </si>
  <si>
    <t>https://x.com/velanorETH</t>
  </si>
  <si>
    <t>@velanorETH</t>
  </si>
  <si>
    <r>
      <rPr>
        <color rgb="FF1155CC"/>
        <u/>
      </rPr>
      <t>https://x.com/vemutlu</t>
    </r>
    <r>
      <rPr/>
      <t xml:space="preserve"> , </t>
    </r>
    <r>
      <rPr>
        <color rgb="FF1155CC"/>
        <u/>
      </rPr>
      <t>https://t.me/VMPreSale</t>
    </r>
    <r>
      <rPr/>
      <t xml:space="preserve"> , </t>
    </r>
    <r>
      <rPr>
        <color rgb="FF1155CC"/>
        <u/>
      </rPr>
      <t>https://www.youtube.com/@VeliMutluOfficial</t>
    </r>
  </si>
  <si>
    <t>@vemutlu</t>
  </si>
  <si>
    <t>Via trader</t>
  </si>
  <si>
    <r>
      <rPr>
        <color rgb="FF1155CC"/>
        <u/>
      </rPr>
      <t>https://x.com/via__trader?s=21</t>
    </r>
    <r>
      <rPr/>
      <t xml:space="preserve"> , https://t.me/CoachCommunityy</t>
    </r>
  </si>
  <si>
    <t>Windcrypto</t>
  </si>
  <si>
    <r>
      <rPr>
        <color rgb="FF1155CC"/>
        <u/>
      </rPr>
      <t>https://x.com/Wind_Crypto</t>
    </r>
    <r>
      <rPr>
        <color rgb="FF000000"/>
      </rPr>
      <t xml:space="preserve"> </t>
    </r>
    <r>
      <rPr/>
      <t xml:space="preserve"> , </t>
    </r>
    <r>
      <rPr>
        <color rgb="FF1155CC"/>
        <u/>
      </rPr>
      <t>https://t.me/WindCrypto</t>
    </r>
    <r>
      <rPr/>
      <t xml:space="preserve"> </t>
    </r>
  </si>
  <si>
    <t>Yasin Abi</t>
  </si>
  <si>
    <t>https://x.com/YsnAnaliz</t>
  </si>
  <si>
    <t>Zoro</t>
  </si>
  <si>
    <t>https://twitter.com/0xRoronoaZoro</t>
  </si>
  <si>
    <t>@CRZORO</t>
  </si>
  <si>
    <t xml:space="preserve"> Lex Moreno</t>
  </si>
  <si>
    <t>https://x.com/lexmorenoweb3</t>
  </si>
  <si>
    <t>Spanish</t>
  </si>
  <si>
    <t>CMedia</t>
  </si>
  <si>
    <t xml:space="preserve"> Pastanaga Crypto </t>
  </si>
  <si>
    <t>https://x.com/pastanagacrypto</t>
  </si>
  <si>
    <t>Cmedia</t>
  </si>
  <si>
    <t>Alvar Burn</t>
  </si>
  <si>
    <t>https://www.youtube.com/@alvarburn</t>
  </si>
  <si>
    <t>Gaming</t>
  </si>
  <si>
    <t>CriptoMindYT</t>
  </si>
  <si>
    <t>https://www.youtube.com/@CriptoMindYT</t>
  </si>
  <si>
    <t>CriptomindYT</t>
  </si>
  <si>
    <t>Edu Heras</t>
  </si>
  <si>
    <t>https://www.youtube.com/@eduheras</t>
  </si>
  <si>
    <t>Erika Espinal</t>
  </si>
  <si>
    <t>https://www.youtube.com/@erikaespinal/videos</t>
  </si>
  <si>
    <t>Guillem Ferrer</t>
  </si>
  <si>
    <t>https://www.youtube.com/@itsguillemferrer/videos</t>
  </si>
  <si>
    <t>Haskell</t>
  </si>
  <si>
    <t>https://x.com/Haskell_Gz</t>
  </si>
  <si>
    <t>Healthy Pockets</t>
  </si>
  <si>
    <t>https://www.youtube.com/c/Healthypockets , https://x.com/healthy_pockets , https://t.me/elclubdelasojeras</t>
  </si>
  <si>
    <t>Inverarg</t>
  </si>
  <si>
    <t>https://www.youtube.com/@inverarg/videos</t>
  </si>
  <si>
    <t>Johny Cabesa</t>
  </si>
  <si>
    <t>https://www.youtube.com/@Jonycabesa</t>
  </si>
  <si>
    <t>Kakarot</t>
  </si>
  <si>
    <t>https://x.com/cryptokakarot</t>
  </si>
  <si>
    <t>La Mejor Estrategia</t>
  </si>
  <si>
    <t>https://www.youtube.com/c/LaMejorEstrategiaCriptomonedas/about</t>
  </si>
  <si>
    <t>Nico Cabrera</t>
  </si>
  <si>
    <t>https://www.youtube.com/@nicocabrera</t>
  </si>
  <si>
    <t>PlanBTC</t>
  </si>
  <si>
    <t>https://www.youtube.com/%EE%82%87PlanBTC/videos</t>
  </si>
  <si>
    <t>RAGER - JUEGOS NFT</t>
  </si>
  <si>
    <t>https://www.youtube.com/@RAGERNFT</t>
  </si>
  <si>
    <t>Salvilla</t>
  </si>
  <si>
    <t>https://www.youtube.com/@salvilla8622</t>
  </si>
  <si>
    <t>Secreto DeFi</t>
  </si>
  <si>
    <t>https://x.com/secretodefi</t>
  </si>
  <si>
    <t>Shooterino</t>
  </si>
  <si>
    <t>https://www.youtube.com/@ShooterinoYT</t>
  </si>
  <si>
    <t>Tech Con Catalina</t>
  </si>
  <si>
    <t>https://www.youtube.com/channel/UCW6cn54Y-qcS5Mk9Oj0nTTw , https://twitter.com/Techconcatalina</t>
  </si>
  <si>
    <t>Alex Invest</t>
  </si>
  <si>
    <t>https://t.me/Alex_Invest01</t>
  </si>
  <si>
    <t>Russian</t>
  </si>
  <si>
    <t>Anufri</t>
  </si>
  <si>
    <t>https://www.youtube.com/@anufrievnikita</t>
  </si>
  <si>
    <t>Bezrabotniy</t>
  </si>
  <si>
    <t>https://www.youtube.com/channel/UCN80Z1Ijz-5Pz22An2W0Yaw</t>
  </si>
  <si>
    <t>Cashflow</t>
  </si>
  <si>
    <t>https://t.me/+e9zd8Tt6Tuk2MzI6</t>
  </si>
  <si>
    <t>Cherryx</t>
  </si>
  <si>
    <t>https://m.youtube.com/@CryptoCherry</t>
  </si>
  <si>
    <t>CloudGeo</t>
  </si>
  <si>
    <t>https://youtube.com/@cloudgeo?si=lG3D9WCT5IKM3NC5</t>
  </si>
  <si>
    <t>Coin Metrika</t>
  </si>
  <si>
    <t>http://t.me/CoinMetrika</t>
  </si>
  <si>
    <t>CrypTomera</t>
  </si>
  <si>
    <t>https://t.me/+aRtmSjlBGlhiNzgy</t>
  </si>
  <si>
    <t>Cryptos Education</t>
  </si>
  <si>
    <t>https://t.me/Cryptos_Education</t>
  </si>
  <si>
    <t>CryptoSensej</t>
  </si>
  <si>
    <t>https://t.me/+L0hbUKJwUREyYTNi</t>
  </si>
  <si>
    <t>CryptTomera</t>
  </si>
  <si>
    <t>http://Telegram (47.5k)</t>
  </si>
  <si>
    <t>EazyScalping</t>
  </si>
  <si>
    <t>https://t.me/eazyscalping</t>
  </si>
  <si>
    <t>Fateev</t>
  </si>
  <si>
    <t>https://youtube.com/@cryptofateev?si=1CFVD-SHOPYdQNMs</t>
  </si>
  <si>
    <t>Golodynuk</t>
  </si>
  <si>
    <t>https://m.youtube.com/@Golodniuk_Kyryl/videos</t>
  </si>
  <si>
    <t>Hodl</t>
  </si>
  <si>
    <t>https://youtube.com/@alexhodl?si=yqQQ7JfXGJaOPOM8</t>
  </si>
  <si>
    <t>Millionnaires Noted</t>
  </si>
  <si>
    <t>https://www.youtube.com/channel/UCUP66dHwZxisqlIYUXpDZQg</t>
  </si>
  <si>
    <t>MongolKombat</t>
  </si>
  <si>
    <t>https://youtu.be/T5nPYgC7uGo</t>
  </si>
  <si>
    <t>Nakbaev</t>
  </si>
  <si>
    <t>https://t.me/+HSke8SWo8ZZiZjdi</t>
  </si>
  <si>
    <t>Nazare Crypto</t>
  </si>
  <si>
    <t>https://t.me/+gJT_3gz6rTBiMWJi</t>
  </si>
  <si>
    <t>Ne nabludatel</t>
  </si>
  <si>
    <t>https://m.youtube.com/@Ne_Nablydatel/videos</t>
  </si>
  <si>
    <t>Oleg Artemiev</t>
  </si>
  <si>
    <t>https://www.youtube.com/@olegapriori</t>
  </si>
  <si>
    <t>PRO Blockchain</t>
  </si>
  <si>
    <r>
      <rPr>
        <color rgb="FF1155CC"/>
        <u/>
      </rPr>
      <t>https://www.youtube.com/@problockchain</t>
    </r>
    <r>
      <rPr/>
      <t xml:space="preserve"> , https://t.me/Pro_Blockchain</t>
    </r>
  </si>
  <si>
    <t>ProBoy</t>
  </si>
  <si>
    <t>https://m.youtube.com/@ProBoyScalp</t>
  </si>
  <si>
    <t>http://t.me/proboyscalp</t>
  </si>
  <si>
    <t>The Cryptus</t>
  </si>
  <si>
    <t>https://youtube.com/@ccrypts?si=B_95VI-UyRX3gtQE</t>
  </si>
  <si>
    <t>Traders Life</t>
  </si>
  <si>
    <t>https://m.youtube.com/@TRADERSLIFEBIT</t>
  </si>
  <si>
    <t>VictorCrypto</t>
  </si>
  <si>
    <t>https://t.me/victorbavur</t>
  </si>
  <si>
    <t>Zhukovtrade</t>
  </si>
  <si>
    <t>https://youtube.com/@zhukovtrade?si=JCK1-7ZqHQH_LFzw</t>
  </si>
  <si>
    <t>Артём Инвестор</t>
  </si>
  <si>
    <t>https://t.me/+V-XZ3Sw_szRw3Po6</t>
  </si>
  <si>
    <t>Безработный Инвестор</t>
  </si>
  <si>
    <t>https://t.me/zarabotaemmv</t>
  </si>
  <si>
    <t>Думай Действуй</t>
  </si>
  <si>
    <t>http://t.me/dumaydeystvuy</t>
  </si>
  <si>
    <t>Крипто ферма</t>
  </si>
  <si>
    <t>https://t.me/KRIPTOFERMA</t>
  </si>
  <si>
    <t>Academia Cripto</t>
  </si>
  <si>
    <t>https://www.youtube.com/@AcademiaCripto</t>
  </si>
  <si>
    <t>Portuguese</t>
  </si>
  <si>
    <t>Gabriel</t>
  </si>
  <si>
    <r>
      <rPr>
        <rFont val="&quot;Helvetica Neue&quot;"/>
        <color rgb="FF1155CC"/>
        <u/>
      </rPr>
      <t>https://www.tiktok.com/@gabrielquadrs</t>
    </r>
  </si>
  <si>
    <t>Jimmy</t>
  </si>
  <si>
    <r>
      <rPr>
        <rFont val="&quot;Helvetica Neue&quot;"/>
        <color rgb="FF1155CC"/>
        <u/>
      </rPr>
      <t>https://www.tiktok.com/@cryptojimmy01</t>
    </r>
  </si>
  <si>
    <t>OuluH</t>
  </si>
  <si>
    <t>https://www.youtube.com/@OuluH/videos</t>
  </si>
  <si>
    <t>Salles RJ</t>
  </si>
  <si>
    <t>https://www.youtube.com/@SalleSRJnaWeb3/videos</t>
  </si>
  <si>
    <t>321Crypto</t>
  </si>
  <si>
    <r>
      <rPr>
        <color rgb="FF1155CC"/>
        <u/>
      </rPr>
      <t>https://x.com/321Crypto</t>
    </r>
    <r>
      <rPr>
        <color rgb="FF000000"/>
      </rPr>
      <t xml:space="preserve"> , </t>
    </r>
    <r>
      <rPr>
        <color rgb="FF1155CC"/>
        <u/>
      </rPr>
      <t>https://t.me/Powiadomienia_321Crypto</t>
    </r>
    <r>
      <rPr>
        <color rgb="FF000000"/>
      </rPr>
      <t xml:space="preserve"> , </t>
    </r>
    <r>
      <rPr>
        <color rgb="FF1155CC"/>
        <u/>
      </rPr>
      <t>https://www.youtube.com/@321Crypto</t>
    </r>
  </si>
  <si>
    <t>Polish</t>
  </si>
  <si>
    <t>Czas to pieniadz</t>
  </si>
  <si>
    <t>https://www.youtube.com/@CzasToPieniadz/videos</t>
  </si>
  <si>
    <t>DEX Lab</t>
  </si>
  <si>
    <r>
      <rPr>
        <color rgb="FF1155CC"/>
        <u/>
      </rPr>
      <t>https://x.com/DEXLaboratory4</t>
    </r>
    <r>
      <rPr/>
      <t xml:space="preserve">, </t>
    </r>
  </si>
  <si>
    <t>FXMAG</t>
  </si>
  <si>
    <t>https://www.youtube.com/@FxMag</t>
  </si>
  <si>
    <t>Gotowy na Krypto</t>
  </si>
  <si>
    <t>https://www.youtube.com/@GotowynaKrypto/videos</t>
  </si>
  <si>
    <t>Julian Crypto</t>
  </si>
  <si>
    <t>https://www.youtube.com/@JulianCrypto/videos</t>
  </si>
  <si>
    <t>Koszary Tradingu</t>
  </si>
  <si>
    <t>https://www.youtube.com/@KoszaryTradingu</t>
  </si>
  <si>
    <t>Krypto Inwestycje</t>
  </si>
  <si>
    <r>
      <rPr>
        <color rgb="FF434343"/>
        <u/>
      </rPr>
      <t>https://x.com/CryptoAlexand</t>
    </r>
    <r>
      <rPr>
        <color rgb="FF000000"/>
      </rPr>
      <t xml:space="preserve"> , </t>
    </r>
    <r>
      <rPr>
        <color rgb="FF1155CC"/>
        <u/>
      </rPr>
      <t>https://t.me/kryptolfg</t>
    </r>
  </si>
  <si>
    <t>Kryptoblogger</t>
  </si>
  <si>
    <r>
      <rPr>
        <color rgb="FF1155CC"/>
        <u/>
      </rPr>
      <t>https://www.youtube.com/@kryptoblogger1227</t>
    </r>
    <r>
      <rPr>
        <color rgb="FF000000"/>
      </rPr>
      <t xml:space="preserve"> , </t>
    </r>
    <r>
      <rPr>
        <color rgb="FF1155CC"/>
        <u/>
      </rPr>
      <t>https://x.com/blogger_krypto</t>
    </r>
    <r>
      <rPr>
        <color rgb="FF000000"/>
      </rPr>
      <t xml:space="preserve"> , </t>
    </r>
    <r>
      <rPr>
        <color rgb="FF1155CC"/>
        <u/>
      </rPr>
      <t>https://t.me/+w6y5lRUkc84wOTk0</t>
    </r>
    <r>
      <rPr>
        <color rgb="FF000000"/>
      </rPr>
      <t xml:space="preserve"> , </t>
    </r>
    <r>
      <rPr>
        <color rgb="FF1155CC"/>
        <u/>
      </rPr>
      <t>https://www.tiktok.com/@kryptoblogger?ug_source=op.auth&amp;ug_term=Linktr.ee&amp;utm_source=awyc6vc625ejxp86&amp;utm_campaign=tt4d_profile_link&amp;_r=1</t>
    </r>
  </si>
  <si>
    <t>Kryptowaluty dla Początkujących</t>
  </si>
  <si>
    <t>https://www.youtube.com/c/KryptowalutydlaPocz%C4%85tkuj%C4%85cych/videos</t>
  </si>
  <si>
    <t>kyudo</t>
  </si>
  <si>
    <r>
      <rPr>
        <color rgb="FF434343"/>
        <u/>
      </rPr>
      <t>https://x.com/kyudo_krypto</t>
    </r>
    <r>
      <rPr>
        <color rgb="FF000000"/>
      </rPr>
      <t xml:space="preserve"> , </t>
    </r>
    <r>
      <rPr>
        <color rgb="FF1155CC"/>
        <u/>
      </rPr>
      <t>https://www.youtube.com/@kyudokrypto</t>
    </r>
  </si>
  <si>
    <t>Łukasz Michałek (Biblia Kryptowalut)</t>
  </si>
  <si>
    <r>
      <rPr>
        <color rgb="FF1155CC"/>
        <u/>
      </rPr>
      <t>https://www.youtube.com/@BibliaKryptowalut</t>
    </r>
    <r>
      <rPr>
        <color rgb="FF000000"/>
      </rPr>
      <t xml:space="preserve"> , </t>
    </r>
    <r>
      <rPr>
        <color rgb="FF1155CC"/>
        <u/>
      </rPr>
      <t>https://x.com/lucas_michalek</t>
    </r>
  </si>
  <si>
    <t>mactom</t>
  </si>
  <si>
    <t>https://x.com/MaciejTomczyk3</t>
  </si>
  <si>
    <t>Marek Stiller</t>
  </si>
  <si>
    <r>
      <rPr>
        <color rgb="FF1155CC"/>
        <u/>
      </rPr>
      <t>https://www.youtube.com/@kryptowalutydlapoczatkujacych</t>
    </r>
    <r>
      <rPr>
        <color rgb="FF000000"/>
      </rPr>
      <t xml:space="preserve">, </t>
    </r>
    <r>
      <rPr>
        <color rgb="FF1155CC"/>
        <u/>
      </rPr>
      <t>https://t.me/kdpwiadomosci</t>
    </r>
    <r>
      <rPr>
        <color rgb="FF000000"/>
      </rPr>
      <t xml:space="preserve">, </t>
    </r>
    <r>
      <rPr>
        <color rgb="FF1155CC"/>
        <u/>
      </rPr>
      <t>https://x.com/MarekStiller</t>
    </r>
  </si>
  <si>
    <t>Świat Krypto</t>
  </si>
  <si>
    <t>https://x.com/SwiatKrypto</t>
  </si>
  <si>
    <t>Genera tu sueldo</t>
  </si>
  <si>
    <t>https://www.youtube.com/@GeneraTuSueldo/videos , https://www.instagram.com/generatusueldooficial/</t>
  </si>
  <si>
    <t>Peru</t>
  </si>
  <si>
    <t>Polaco</t>
  </si>
  <si>
    <t>https://www.youtube.com/@PolacoFinanzas</t>
  </si>
  <si>
    <t xml:space="preserve">Gabriel Ressan </t>
  </si>
  <si>
    <t>https://www.instagram.com/gabrielressan/</t>
  </si>
  <si>
    <t>Mexico</t>
  </si>
  <si>
    <t>Israel Gonzalez</t>
  </si>
  <si>
    <t>https://www.instagram.com/isracrypto.eth?utm_source=ig_web_button_share_sheet&amp;igsh=ZDNlZDc0MzIxNw%3D%3D</t>
  </si>
  <si>
    <t>Miguel Valencia</t>
  </si>
  <si>
    <t>https://www.youtube.com/@7INGRESOS</t>
  </si>
  <si>
    <t>Pato Madrazo</t>
  </si>
  <si>
    <t>https://www.instagram.com/patomadrazo_?utm_source=ig_web_button_share_sheet&amp;igsh=ZDNlZDc0MzIxNw%3D%3D</t>
  </si>
  <si>
    <t>perecrypto</t>
  </si>
  <si>
    <t>https://www.instagram.com/perecrypto/</t>
  </si>
  <si>
    <t>salvatore giuseppee</t>
  </si>
  <si>
    <t>https://www.instagram.com/salvatoregiuseppee/</t>
  </si>
  <si>
    <t>Artur Guimaraes</t>
  </si>
  <si>
    <t>https://www.youtube.com/@arturguimaraesp</t>
  </si>
  <si>
    <t>Latam</t>
  </si>
  <si>
    <t>Cripto Explosiva</t>
  </si>
  <si>
    <t>https://www.youtube.com/@CriptoExplosiva</t>
  </si>
  <si>
    <t>Fabio Catalao</t>
  </si>
  <si>
    <r>
      <rPr>
        <rFont val="&quot;Helvetica Neue&quot;"/>
        <color rgb="FF1155CC"/>
        <u/>
      </rPr>
      <t>https://www.youtube.com/@fabiocatalao_</t>
    </r>
  </si>
  <si>
    <t>Igor Freitas (Best Brazilian Binance KOL)</t>
  </si>
  <si>
    <r>
      <rPr/>
      <t xml:space="preserve">
</t>
    </r>
    <r>
      <rPr>
        <color rgb="FF1155CC"/>
        <u/>
      </rPr>
      <t>https://www.instagram.com/igorfreitasm/</t>
    </r>
  </si>
  <si>
    <t>Insalubres</t>
  </si>
  <si>
    <r>
      <rPr>
        <rFont val="&quot;Helvetica Neue&quot;"/>
        <color rgb="FF1155CC"/>
        <u/>
      </rPr>
      <t>https://www.youtube.com/@Insalubrescripto</t>
    </r>
  </si>
  <si>
    <t>Pato Crypto</t>
  </si>
  <si>
    <t>https://www.youtube.com/@patocrypto</t>
  </si>
  <si>
    <t>Ramon Cunha</t>
  </si>
  <si>
    <r>
      <rPr>
        <rFont val="&quot;Helvetica Neue&quot;"/>
        <color rgb="FF1155CC"/>
        <u/>
      </rPr>
      <t>https://www.youtube.com/@Ramon_Cunha</t>
    </r>
  </si>
  <si>
    <t>Thiago Moura</t>
  </si>
  <si>
    <r>
      <rPr>
        <color rgb="FF1155CC"/>
        <u/>
      </rPr>
      <t>https://www.youtube.com/@CriptoExplosiva</t>
    </r>
    <r>
      <rPr/>
      <t xml:space="preserve"> , </t>
    </r>
    <r>
      <rPr>
        <color rgb="FF1155CC"/>
        <u/>
      </rPr>
      <t>https://x.com/othiago_moura</t>
    </r>
  </si>
  <si>
    <t>Walter</t>
  </si>
  <si>
    <t>https://www.youtube.com/@CriptoComFe</t>
  </si>
  <si>
    <t>AirdropATM</t>
  </si>
  <si>
    <r>
      <rPr>
        <rFont val="&quot;Helvetica Neue&quot;"/>
        <color rgb="FF1155CC"/>
        <u/>
      </rPr>
      <t>https://t.me/bounty_atm</t>
    </r>
  </si>
  <si>
    <t>Korean</t>
  </si>
  <si>
    <t>ARK</t>
  </si>
  <si>
    <r>
      <rPr>
        <rFont val="&quot;Helvetica Neue&quot;"/>
        <color rgb="FF1155CC"/>
        <u/>
      </rPr>
      <t>https://t.me/Board_the_Ark</t>
    </r>
  </si>
  <si>
    <t>bitmansour</t>
  </si>
  <si>
    <r>
      <rPr>
        <rFont val="&quot;Helvetica Neue&quot;"/>
        <color rgb="FF1155CC"/>
        <u/>
      </rPr>
      <t>https://t.me/bitmansour</t>
    </r>
  </si>
  <si>
    <t>Booja</t>
  </si>
  <si>
    <r>
      <rPr>
        <rFont val="&quot;Helvetica Neue&quot;"/>
        <color rgb="FF1155CC"/>
        <u/>
      </rPr>
      <t>https://t.me/boojaANN</t>
    </r>
  </si>
  <si>
    <t>Century Whale</t>
  </si>
  <si>
    <r>
      <rPr>
        <rFont val="&quot;Helvetica Neue&quot;"/>
        <color rgb="FF1155CC"/>
        <u/>
      </rPr>
      <t>https://t.me/centurywhale</t>
    </r>
  </si>
  <si>
    <t>Churin</t>
  </si>
  <si>
    <r>
      <rPr>
        <rFont val="&quot;Helvetica Neue&quot;"/>
        <color rgb="FF1155CC"/>
        <u/>
      </rPr>
      <t>https://t.me/churin0329</t>
    </r>
  </si>
  <si>
    <r>
      <rPr>
        <rFont val="&quot;Helvetica Neue&quot;"/>
        <color rgb="FF1155CC"/>
        <u/>
      </rPr>
      <t>https://t.me/churin0329</t>
    </r>
  </si>
  <si>
    <t>Coin Gallery</t>
  </si>
  <si>
    <r>
      <rPr>
        <rFont val="&quot;Helvetica Neue&quot;"/>
        <color rgb="FF1155CC"/>
        <u/>
      </rPr>
      <t>https://t.me/dogeland01</t>
    </r>
  </si>
  <si>
    <t>Coinking</t>
  </si>
  <si>
    <r>
      <rPr>
        <rFont val="&quot;Helvetica Neue&quot;"/>
        <color rgb="FF1155CC"/>
        <u/>
      </rPr>
      <t>https://t.me/Coin_AirdropKing</t>
    </r>
  </si>
  <si>
    <t>Crypto jailbreak</t>
  </si>
  <si>
    <r>
      <rPr>
        <rFont val="&quot;Helvetica Neue&quot;"/>
        <color rgb="FF1155CC"/>
        <u/>
      </rPr>
      <t>https://t.me/Crypto_jailbreak_Korea</t>
    </r>
  </si>
  <si>
    <t>Crypto Judy</t>
  </si>
  <si>
    <r>
      <rPr>
        <rFont val="&quot;Helvetica Neue&quot;"/>
        <color rgb="FF1155CC"/>
        <u/>
      </rPr>
      <t>https://t.me/lovejudylee</t>
    </r>
  </si>
  <si>
    <t>Crypto Macase</t>
  </si>
  <si>
    <r>
      <rPr>
        <rFont val="&quot;Helvetica Neue&quot;"/>
        <color rgb="FF1155CC"/>
        <u/>
      </rPr>
      <t>https://t.me/cryptomacase</t>
    </r>
  </si>
  <si>
    <t>Crypto Panda</t>
  </si>
  <si>
    <r>
      <rPr>
        <rFont val="&quot;Helvetica Neue&quot;"/>
        <color rgb="FF1155CC"/>
        <u/>
      </rPr>
      <t>https://t.me/cryptopandann</t>
    </r>
  </si>
  <si>
    <t>Dolgommagic</t>
  </si>
  <si>
    <r>
      <rPr>
        <rFont val="&quot;Helvetica Neue&quot;"/>
        <color rgb="FF1155CC"/>
        <u/>
      </rPr>
      <t>https://t.me/dolgommagic</t>
    </r>
  </si>
  <si>
    <t>Dynasty</t>
  </si>
  <si>
    <r>
      <rPr>
        <rFont val="&quot;Helvetica Neue&quot;"/>
        <color rgb="FF1155CC"/>
        <u/>
      </rPr>
      <t>https://t.me/Dynastylabs</t>
    </r>
  </si>
  <si>
    <t>EnjoyMyHobby</t>
  </si>
  <si>
    <r>
      <rPr>
        <rFont val="&quot;Helvetica Neue&quot;"/>
        <color rgb="FF1155CC"/>
        <u/>
      </rPr>
      <t>https://t.me/enjoymyhobby</t>
    </r>
  </si>
  <si>
    <t>Fireant Crypto</t>
  </si>
  <si>
    <r>
      <rPr>
        <rFont val="&quot;Helvetica Neue&quot;"/>
        <color rgb="FF1155CC"/>
        <u/>
      </rPr>
      <t>https://t.me/fireantcrypto</t>
    </r>
  </si>
  <si>
    <t>GemHiveDao</t>
  </si>
  <si>
    <r>
      <rPr>
        <rFont val="&quot;Helvetica Neue&quot;"/>
        <color rgb="FF1155CC"/>
        <u/>
      </rPr>
      <t>https://t.me/GemHiveDAOchannel</t>
    </r>
  </si>
  <si>
    <t>Han</t>
  </si>
  <si>
    <r>
      <rPr>
        <rFont val="&quot;Helvetica Neue&quot;"/>
        <color rgb="FF1155CC"/>
        <u/>
      </rPr>
      <t>https://t.me/engtokor</t>
    </r>
  </si>
  <si>
    <t>Heedan</t>
  </si>
  <si>
    <r>
      <rPr>
        <rFont val="&quot;Helvetica Neue&quot;"/>
        <color rgb="FF1155CC"/>
        <u/>
      </rPr>
      <t>https://t.me/heedan22</t>
    </r>
  </si>
  <si>
    <t>honeymouse</t>
  </si>
  <si>
    <r>
      <rPr>
        <rFont val="&quot;Helvetica Neue&quot;"/>
        <color rgb="FF1155CC"/>
        <u/>
      </rPr>
      <t>https://t.me/honeymouse1003</t>
    </r>
  </si>
  <si>
    <t>Insane Coin</t>
  </si>
  <si>
    <r>
      <rPr>
        <rFont val="&quot;Helvetica Neue&quot;"/>
        <color rgb="FF1155CC"/>
        <u/>
      </rPr>
      <t>https://t.me/lnsanecoin</t>
    </r>
  </si>
  <si>
    <t>kkeongsmemo</t>
  </si>
  <si>
    <r>
      <rPr>
        <rFont val="&quot;Helvetica Neue&quot;"/>
        <color rgb="FF1155CC"/>
        <u/>
      </rPr>
      <t>https://t.me/kkeongsmemo</t>
    </r>
  </si>
  <si>
    <t>KOOB Crypto 2.1</t>
  </si>
  <si>
    <r>
      <rPr>
        <rFont val="&quot;Helvetica Neue&quot;"/>
        <color rgb="FF1155CC"/>
        <u/>
      </rPr>
      <t>https://t.me/kookookoob</t>
    </r>
  </si>
  <si>
    <t>Liam</t>
  </si>
  <si>
    <r>
      <rPr>
        <rFont val="&quot;Helvetica Neue&quot;"/>
        <color rgb="FF1155CC"/>
        <u/>
      </rPr>
      <t>https://t.me/liambitcoin</t>
    </r>
  </si>
  <si>
    <t>MBM</t>
  </si>
  <si>
    <r>
      <rPr>
        <rFont val="&quot;Helvetica Neue&quot;"/>
        <color rgb="FF1155CC"/>
        <u/>
      </rPr>
      <t>https://t.me/MBMweb3</t>
    </r>
  </si>
  <si>
    <t>Mujammin</t>
  </si>
  <si>
    <r>
      <rPr>
        <rFont val="&quot;Helvetica Neue&quot;"/>
        <color rgb="FF1155CC"/>
        <u/>
      </rPr>
      <t>https://t.me/mujammin123</t>
    </r>
  </si>
  <si>
    <t>Official Univercity of Crypto</t>
  </si>
  <si>
    <r>
      <rPr>
        <rFont val="&quot;Helvetica Neue&quot;"/>
        <color rgb="FF1155CC"/>
        <u/>
      </rPr>
      <t>https://t.me/officialunivercityofcrypto</t>
    </r>
  </si>
  <si>
    <t>Ongsal</t>
  </si>
  <si>
    <r>
      <rPr>
        <rFont val="&quot;Helvetica Neue&quot;"/>
        <color rgb="FF1155CC"/>
        <u/>
      </rPr>
      <t>https://t.me/OngsalYee</t>
    </r>
  </si>
  <si>
    <t>organic IDO</t>
  </si>
  <si>
    <r>
      <rPr>
        <rFont val="&quot;Helvetica Neue&quot;"/>
        <color rgb="FF1155CC"/>
        <u/>
      </rPr>
      <t>https://t.me/organic_IDO_KR</t>
    </r>
  </si>
  <si>
    <t>Rowna</t>
  </si>
  <si>
    <r>
      <rPr>
        <rFont val="&quot;Helvetica Neue&quot;"/>
        <color rgb="FF1155CC"/>
        <u/>
      </rPr>
      <t>https://t.me/Rowna999</t>
    </r>
  </si>
  <si>
    <t>Sena</t>
  </si>
  <si>
    <r>
      <rPr>
        <rFont val="&quot;Helvetica Neue&quot;"/>
        <color rgb="FF1155CC"/>
        <u/>
      </rPr>
      <t>https://t.me/ResearchSena</t>
    </r>
  </si>
  <si>
    <t>Sipang</t>
  </si>
  <si>
    <r>
      <rPr>
        <rFont val="&quot;Helvetica Neue&quot;"/>
        <color rgb="FF1155CC"/>
        <u/>
      </rPr>
      <t>https://t.me/sipangE</t>
    </r>
  </si>
  <si>
    <t>Skygoma</t>
  </si>
  <si>
    <r>
      <rPr>
        <rFont val="&quot;Helvetica Neue&quot;"/>
        <color rgb="FF1155CC"/>
        <u/>
      </rPr>
      <t>https://t.me/officialskygoma</t>
    </r>
  </si>
  <si>
    <t>WeCryptoTogether</t>
  </si>
  <si>
    <r>
      <rPr>
        <rFont val="&quot;Helvetica Neue&quot;"/>
        <color rgb="FF1155CC"/>
        <u/>
      </rPr>
      <t>https://t.me/WeCryptoTogether</t>
    </r>
  </si>
  <si>
    <t>Yobeully</t>
  </si>
  <si>
    <r>
      <rPr>
        <rFont val="&quot;Helvetica Neue&quot;"/>
        <color rgb="FF1155CC"/>
        <u/>
      </rPr>
      <t>https://t.me/yobeullyANN</t>
    </r>
  </si>
  <si>
    <t>신기술은돈이된다</t>
  </si>
  <si>
    <r>
      <rPr>
        <rFont val="&quot;Helvetica Neue&quot;"/>
        <color rgb="FF1155CC"/>
        <u/>
      </rPr>
      <t>https://t.me/tlsrltnf</t>
    </r>
  </si>
  <si>
    <t>차분남</t>
  </si>
  <si>
    <r>
      <rPr>
        <rFont val="&quot;Helvetica Neue&quot;"/>
        <color rgb="FF1155CC"/>
        <u/>
      </rPr>
      <t>https://t.me/chavoonnam</t>
    </r>
  </si>
  <si>
    <t>포밍</t>
  </si>
  <si>
    <r>
      <rPr>
        <rFont val="&quot;Helvetica Neue&quot;"/>
        <color rgb="FF1155CC"/>
        <u/>
      </rPr>
      <t>https://t.me/vc_21m</t>
    </r>
  </si>
  <si>
    <t>admen</t>
  </si>
  <si>
    <r>
      <rPr>
        <rFont val="&quot;Helvetica Neue&quot;"/>
        <color rgb="FF1155CC"/>
        <u/>
      </rPr>
      <t>https://x.com/admen_vc_2</t>
    </r>
  </si>
  <si>
    <t>Japanese</t>
  </si>
  <si>
    <t>Bankera</t>
  </si>
  <si>
    <r>
      <rPr>
        <rFont val="&quot;Helvetica Neue&quot;"/>
        <color rgb="FF1155CC"/>
        <u/>
      </rPr>
      <t>https://x.com/BankeraDao</t>
    </r>
  </si>
  <si>
    <t>Bb</t>
  </si>
  <si>
    <r>
      <rPr>
        <rFont val="&quot;Helvetica Neue&quot;"/>
        <color rgb="FF1155CC"/>
        <u/>
      </rPr>
      <t>https://x.com/bb_jpdao</t>
    </r>
  </si>
  <si>
    <t>Coinclub Japan</t>
  </si>
  <si>
    <r>
      <rPr>
        <rFont val="&quot;Helvetica Neue&quot;"/>
        <color rgb="FF1155CC"/>
        <u/>
      </rPr>
      <t>https://www.youtube.com/@CoinClubJapan</t>
    </r>
  </si>
  <si>
    <t>FUJIMANA</t>
  </si>
  <si>
    <r>
      <rPr>
        <rFont val="&quot;Helvetica Neue&quot;"/>
        <color rgb="FF1155CC"/>
        <u/>
      </rPr>
      <t>https://www.youtube.com/@fujimana</t>
    </r>
  </si>
  <si>
    <t>kiyu</t>
  </si>
  <si>
    <r>
      <rPr>
        <rFont val="&quot;Helvetica Neue&quot;"/>
        <color rgb="FF1155CC"/>
        <u/>
      </rPr>
      <t>https://x.com/lskraise</t>
    </r>
  </si>
  <si>
    <t>Moshin Channel</t>
  </si>
  <si>
    <r>
      <rPr>
        <rFont val="&quot;Helvetica Neue&quot;"/>
        <color rgb="FF1155CC"/>
        <u/>
      </rPr>
      <t>https://www.youtube.com/@fujimana</t>
    </r>
  </si>
  <si>
    <t>osa</t>
  </si>
  <si>
    <r>
      <rPr>
        <rFont val="&quot;Helvetica Neue&quot;"/>
        <color rgb="FF1155CC"/>
        <u/>
      </rPr>
      <t>https://twitter.com/osa3210</t>
    </r>
  </si>
  <si>
    <t>OtakuLabs</t>
  </si>
  <si>
    <r>
      <rPr>
        <rFont val="&quot;Helvetica Neue&quot;"/>
        <color rgb="FF1155CC"/>
        <u/>
      </rPr>
      <t>https://x.com/OtakuLabs_xyz</t>
    </r>
  </si>
  <si>
    <t>Tokeneconomist</t>
  </si>
  <si>
    <r>
      <rPr>
        <rFont val="&quot;Helvetica Neue&quot;"/>
        <color rgb="FF1155CC"/>
        <u/>
      </rPr>
      <t>https://x.com/TokenEconomist</t>
    </r>
  </si>
  <si>
    <t>AfterSide Crypto</t>
  </si>
  <si>
    <t>https://www.youtube.com/c/AfterSideCrypto/videos</t>
  </si>
  <si>
    <t>Italian</t>
  </si>
  <si>
    <t>Angga Andinata</t>
  </si>
  <si>
    <t>https://www.youtube.com/@AnggaAndinata , https://x.com/anggaandinata</t>
  </si>
  <si>
    <t>Federico Ronzoni</t>
  </si>
  <si>
    <t>https://www.youtube.com/@FedericoRonzoni/videos</t>
  </si>
  <si>
    <t>Francesco Carrino</t>
  </si>
  <si>
    <t>https://www.youtube.com/@FrancescoCarrino/videos</t>
  </si>
  <si>
    <t>Investi sul web</t>
  </si>
  <si>
    <t>https://www.youtube.com/channel/UCfURz82StG4JIjf581b195Q/featured</t>
  </si>
  <si>
    <t>Leonardo Vecchio</t>
  </si>
  <si>
    <t>https://www.youtube.com/c/LeonardoVecchio/videos</t>
  </si>
  <si>
    <t>Marc Nieto</t>
  </si>
  <si>
    <r>
      <rPr>
        <rFont val="&quot;Helvetica Neue&quot;"/>
        <color rgb="FF1155CC"/>
        <u/>
      </rPr>
      <t>https://www.tiktok.com/@marcnieto.official</t>
    </r>
  </si>
  <si>
    <t>Mauro Caimi</t>
  </si>
  <si>
    <t>https://www.youtube.com/@MauroCaimi</t>
  </si>
  <si>
    <t>Michael Pino</t>
  </si>
  <si>
    <r>
      <rPr>
        <color rgb="FF1155CC"/>
        <u/>
      </rPr>
      <t>https://www.youtube.com/@MichaelPino/videos</t>
    </r>
    <r>
      <rPr>
        <color rgb="FF777777"/>
      </rPr>
      <t xml:space="preserve"> , </t>
    </r>
    <r>
      <rPr>
        <color rgb="FF1155CC"/>
        <u/>
      </rPr>
      <t>https://www.instagram.com/_michaelpino_/</t>
    </r>
    <r>
      <rPr>
        <color rgb="FF777777"/>
      </rPr>
      <t xml:space="preserve"> , </t>
    </r>
    <r>
      <rPr>
        <color rgb="FF1155CC"/>
        <u/>
      </rPr>
      <t>https://www.tiktok.com/@michael_pino?lang=fr</t>
    </r>
  </si>
  <si>
    <t>Mind The Chart</t>
  </si>
  <si>
    <t>https://www.youtube.com/channel/UChkzwqfPPTPnuSef26idqcg</t>
  </si>
  <si>
    <t>Riccardo Zanetti</t>
  </si>
  <si>
    <t>https://www.youtube.com/@RiccardoZanetti/videos</t>
  </si>
  <si>
    <t>Starting Finance</t>
  </si>
  <si>
    <t>https://www.youtube.com/@StartingFinance/videos , https://www.instagram.com/startingfinance/ , https://www.tiktok.com/@startingfinance , https://home.startingfinance.com/ , https://www.facebook.com/startingfinance</t>
  </si>
  <si>
    <t>The Crypto Gateway</t>
  </si>
  <si>
    <r>
      <rPr>
        <color rgb="FF434343"/>
        <u/>
      </rPr>
      <t>https://www.youtube.com/@thecryptogateway/videos</t>
    </r>
    <r>
      <rPr>
        <color rgb="FF000000"/>
      </rPr>
      <t xml:space="preserve">, </t>
    </r>
    <r>
      <rPr>
        <color rgb="FF1155CC"/>
        <u/>
      </rPr>
      <t>https://x.com/crypto_gateway</t>
    </r>
    <r>
      <rPr>
        <color rgb="FF000000"/>
      </rPr>
      <t xml:space="preserve">, </t>
    </r>
    <r>
      <rPr>
        <color rgb="FF1155CC"/>
        <u/>
      </rPr>
      <t>https://t.me/TheCryptoGateway</t>
    </r>
    <r>
      <rPr>
        <color rgb="FF000000"/>
      </rPr>
      <t xml:space="preserve">, </t>
    </r>
    <r>
      <rPr>
        <color rgb="FF1155CC"/>
        <u/>
      </rPr>
      <t>https://www.instagram.com/thecryptogateway/</t>
    </r>
    <r>
      <rPr>
        <color rgb="FF000000"/>
      </rPr>
      <t xml:space="preserve">, </t>
    </r>
  </si>
  <si>
    <t>Tiziano Tridico</t>
  </si>
  <si>
    <t>https://www.youtube.com/@TizianoTridico/videos</t>
  </si>
  <si>
    <t>AnC</t>
  </si>
  <si>
    <t>https://x.com/AnalisaCrypto</t>
  </si>
  <si>
    <t>Indonesia</t>
  </si>
  <si>
    <t>Andre Rizky Investasi</t>
  </si>
  <si>
    <t>https://www.youtube.com/c/AndreRizky/featured</t>
  </si>
  <si>
    <t>andreasrtobing.hl</t>
  </si>
  <si>
    <t>https://x.com/andreasrtobing_</t>
  </si>
  <si>
    <t>Andy Tjoeng</t>
  </si>
  <si>
    <t>https://x.com/kyojindee</t>
  </si>
  <si>
    <t>Arzanocrypto</t>
  </si>
  <si>
    <t>https://www.youtube.com/@arzanocrypto</t>
  </si>
  <si>
    <t>belvin tannadi</t>
  </si>
  <si>
    <t>https://x.com/BTannadi</t>
  </si>
  <si>
    <t>Bitcoin Expert India</t>
  </si>
  <si>
    <t>https://www.youtube.com/c/bitcoinexpertindiaa</t>
  </si>
  <si>
    <t>Choze</t>
  </si>
  <si>
    <t>https://x.com/AlwaysBeenChoze</t>
  </si>
  <si>
    <t>Crypto Jargon</t>
  </si>
  <si>
    <r>
      <rPr>
        <color rgb="FF1155CC"/>
        <u/>
      </rPr>
      <t>https://www.youtube.com/@Crypto_Jargon</t>
    </r>
    <r>
      <rPr>
        <color rgb="FF000000"/>
      </rPr>
      <t xml:space="preserve"> , </t>
    </r>
    <r>
      <rPr>
        <color rgb="FF1155CC"/>
        <u/>
      </rPr>
      <t>https://t.me/cryptojargon69</t>
    </r>
  </si>
  <si>
    <t>Crypto King Keyur</t>
  </si>
  <si>
    <t>https://www.youtube.com/c/cryptokingkeyur</t>
  </si>
  <si>
    <t>Crypto Yug</t>
  </si>
  <si>
    <t>https://www.youtube.com/@CryptoYug/videos</t>
  </si>
  <si>
    <t>Earn With Sapna</t>
  </si>
  <si>
    <t>https://www.youtube.com/@EarnWithSapna</t>
  </si>
  <si>
    <t>GE</t>
  </si>
  <si>
    <t>https://x.com/GuarEmperor</t>
  </si>
  <si>
    <t>Global Rashid</t>
  </si>
  <si>
    <t>https://www.youtube.com/@GlobalRashid/videos</t>
  </si>
  <si>
    <t>IhsanAgaz</t>
  </si>
  <si>
    <t>https://www.youtube.com/c/ihsanAgaz/featured</t>
  </si>
  <si>
    <t>Kenal Kripto</t>
  </si>
  <si>
    <t>https://x.com/KenalKripto</t>
  </si>
  <si>
    <t>Open4profit</t>
  </si>
  <si>
    <t>https://youtube.com/c/Open4Profit</t>
  </si>
  <si>
    <t>TODAY CRYPTO</t>
  </si>
  <si>
    <t>https://youtube.com/c/TODAYCRYPTO</t>
  </si>
  <si>
    <t>Tomket Lovers</t>
  </si>
  <si>
    <t>https://x.com/TomketLovers</t>
  </si>
  <si>
    <t>Wise Advise</t>
  </si>
  <si>
    <t>https://www.youtube.com/@WISEADVICEE/videos</t>
  </si>
  <si>
    <t>Yan</t>
  </si>
  <si>
    <t>https://x.com/yanzero_</t>
  </si>
  <si>
    <t>Yonathan Dinata</t>
  </si>
  <si>
    <t>https://x.com/yonathandinata</t>
  </si>
  <si>
    <t>Yunepto</t>
  </si>
  <si>
    <t>https://www.youtube.com/@yunepto , https://x.com/yunepto</t>
  </si>
  <si>
    <t>zksrzkshmr</t>
  </si>
  <si>
    <t>https://x.com/zksrzkshmr</t>
  </si>
  <si>
    <t>Bitcoin2Go</t>
  </si>
  <si>
    <r>
      <rPr>
        <color rgb="FF1155CC"/>
        <u/>
      </rPr>
      <t>https://www.youtube.com/@Bitcoin2Go</t>
    </r>
    <r>
      <rPr/>
      <t xml:space="preserve">, </t>
    </r>
    <r>
      <rPr>
        <color rgb="FF1155CC"/>
        <u/>
      </rPr>
      <t>https://twitter.com/bitcoin2go</t>
    </r>
  </si>
  <si>
    <t>German</t>
  </si>
  <si>
    <t>Coin Check TV</t>
  </si>
  <si>
    <r>
      <rPr>
        <color rgb="FF1155CC"/>
        <u/>
      </rPr>
      <t>https://www.youtube.com/@CoinCheckTV</t>
    </r>
    <r>
      <rPr>
        <color rgb="FF000000"/>
      </rPr>
      <t xml:space="preserve">, </t>
    </r>
    <r>
      <rPr>
        <color rgb="FF1155CC"/>
        <u/>
      </rPr>
      <t>https://x.com/FurkanCCTV</t>
    </r>
  </si>
  <si>
    <t>Crypto Heroes</t>
  </si>
  <si>
    <t>https://www.youtube.com/@CryptoHeroesYT/videos</t>
  </si>
  <si>
    <t>Crypto Tuts</t>
  </si>
  <si>
    <t>https://www.youtube.com/c/CryptoTuts/videos</t>
  </si>
  <si>
    <t>FFDK</t>
  </si>
  <si>
    <t>https://www.youtube.com/@FFDK589/videos</t>
  </si>
  <si>
    <t>Krypto Faint</t>
  </si>
  <si>
    <t>https://www.youtube.com/@KryptoFaint/videos</t>
  </si>
  <si>
    <t>Krypto_Nightowl</t>
  </si>
  <si>
    <t>https://www.youtube.com/@Krypto_Nightowl/videos</t>
  </si>
  <si>
    <t>Miss Crypto</t>
  </si>
  <si>
    <t>https://www.youtube.com/@MissCryptoGer/videos</t>
  </si>
  <si>
    <t>Moneten Dave</t>
  </si>
  <si>
    <r>
      <rPr>
        <color rgb="FF1155CC"/>
        <u/>
      </rPr>
      <t>https://www.youtube.com/@MonetenDave/videos</t>
    </r>
    <r>
      <rPr/>
      <t xml:space="preserve">, </t>
    </r>
    <r>
      <rPr>
        <color rgb="FF1155CC"/>
        <u/>
      </rPr>
      <t>http://twitter.com/DaveMoneten</t>
    </r>
    <r>
      <rPr/>
      <t xml:space="preserve">, </t>
    </r>
    <r>
      <rPr>
        <color rgb="FF1155CC"/>
        <u/>
      </rPr>
      <t>https://www.instagram.com/monetendave/</t>
    </r>
    <r>
      <rPr/>
      <t xml:space="preserve"> </t>
    </r>
  </si>
  <si>
    <t>XRP News</t>
  </si>
  <si>
    <t>https://www.youtube.com/watch?v=n0uSGBbD57U</t>
  </si>
  <si>
    <t>Alantrading</t>
  </si>
  <si>
    <t>https://www.youtube.com/@AlanTradingYT/videos%60</t>
  </si>
  <si>
    <t>Invesment, Trade, Volume, Brand Awaraness</t>
  </si>
  <si>
    <t>French</t>
  </si>
  <si>
    <t>https://twitter.com/AlanTradingYT</t>
  </si>
  <si>
    <t>Invesment, Trade, Brand Awaraness</t>
  </si>
  <si>
    <t>Caroline Jurado</t>
  </si>
  <si>
    <t>https://www.instagram.com/caroline_jurado_/</t>
  </si>
  <si>
    <r>
      <rPr>
        <rFont val="Arial"/>
        <color rgb="FF1155CC"/>
        <u/>
      </rPr>
      <t>https://www.tiktok.com/@carolinejurado</t>
    </r>
    <r>
      <rPr/>
      <t xml:space="preserve"> , </t>
    </r>
    <r>
      <rPr>
        <rFont val="Arial"/>
        <color rgb="FF1155CC"/>
        <u/>
      </rPr>
      <t>https://www.instagram.com/caroline_jurado_/</t>
    </r>
    <r>
      <rPr/>
      <t xml:space="preserve"> , </t>
    </r>
    <r>
      <rPr>
        <rFont val="Arial"/>
        <color rgb="FF1155CC"/>
        <u/>
      </rPr>
      <t>https://www.linkedin.com/in/caroline-jurado/</t>
    </r>
    <r>
      <rPr/>
      <t xml:space="preserve"> , </t>
    </r>
    <r>
      <rPr>
        <rFont val="Arial"/>
        <color rgb="FF1155CC"/>
        <u/>
      </rPr>
      <t>https://newsletter.lescryptosdecaro.com/</t>
    </r>
  </si>
  <si>
    <t>Charlie Seddine</t>
  </si>
  <si>
    <t>https://www.youtube.com/@CharlieSeddine</t>
  </si>
  <si>
    <t>Crypto Futur</t>
  </si>
  <si>
    <r>
      <rPr>
        <color rgb="FF1155CC"/>
        <u/>
      </rPr>
      <t>https://www.youtube.com/c/CryptoFutur/featured</t>
    </r>
    <r>
      <rPr/>
      <t xml:space="preserve"> , </t>
    </r>
    <r>
      <rPr>
        <color rgb="FF1155CC"/>
        <u/>
      </rPr>
      <t>https://twitter.com/crypto_futur</t>
    </r>
  </si>
  <si>
    <t>Frenchstartupper</t>
  </si>
  <si>
    <t>https://www.instagram.com/frenchstartupper/</t>
  </si>
  <si>
    <r>
      <rPr>
        <rFont val="Arial"/>
        <color rgb="FF1155CC"/>
        <u/>
      </rPr>
      <t>https://www.tiktok.com/@frenchstartupper</t>
    </r>
    <r>
      <rPr/>
      <t xml:space="preserve"> , </t>
    </r>
    <r>
      <rPr>
        <rFont val="Arial"/>
        <color rgb="FF1155CC"/>
        <u/>
      </rPr>
      <t>https://www.instagram.com/frenchstartupper/</t>
    </r>
  </si>
  <si>
    <t>Goku</t>
  </si>
  <si>
    <r>
      <rPr>
        <color rgb="FF434343"/>
        <u/>
      </rPr>
      <t>https://twitter.com/Crypto__Goku</t>
    </r>
    <r>
      <rPr>
        <color rgb="FF000000"/>
      </rPr>
      <t xml:space="preserve">, </t>
    </r>
    <r>
      <rPr>
        <color rgb="FF1155CC"/>
        <u/>
      </rPr>
      <t>https://t.me/GokuCryptoNews</t>
    </r>
  </si>
  <si>
    <t>Hasheur</t>
  </si>
  <si>
    <t>https://www.youtube.com/@Hasheur</t>
  </si>
  <si>
    <t>Jeux Crypto FR</t>
  </si>
  <si>
    <r>
      <rPr>
        <color rgb="FF1155CC"/>
        <u/>
      </rPr>
      <t>https://x.com/Jeuxcryptofr</t>
    </r>
    <r>
      <rPr/>
      <t xml:space="preserve"> , </t>
    </r>
    <r>
      <rPr>
        <color rgb="FF1155CC"/>
        <u/>
      </rPr>
      <t>https://www.youtube.com/@jeuxcryptofr/videos</t>
    </r>
    <r>
      <rPr/>
      <t xml:space="preserve"> </t>
    </r>
  </si>
  <si>
    <t>Julien Roman</t>
  </si>
  <si>
    <t>https://www.youtube.com/c/JulienRoman , https://t.me/julienromantelegram , https://x.com/JulienROMAN13 , https://www.instagram.com/jromanyoutube/# , https://www.tiktok.com/@julienromanyoutube</t>
  </si>
  <si>
    <t>Les Rois du Bitcoin</t>
  </si>
  <si>
    <t>https://www.youtube.com/@lesroisdubitcoin , https://x.com/Rois_Hermes , https://discord.gg/sPAXEbyyCy</t>
  </si>
  <si>
    <t>Maxime Astuces</t>
  </si>
  <si>
    <r>
      <rPr>
        <rFont val="Arial"/>
        <color rgb="FF1155CC"/>
        <u/>
      </rPr>
      <t>https://www.tiktok.com/search?q=Maxime%20Painchaud&amp;t=1658412297459</t>
    </r>
    <r>
      <rPr/>
      <t xml:space="preserve"> , </t>
    </r>
    <r>
      <rPr>
        <rFont val="Arial"/>
        <color rgb="FF1155CC"/>
        <u/>
      </rPr>
      <t>https://www.instagram.com/maxime.astuces/</t>
    </r>
    <r>
      <rPr/>
      <t xml:space="preserve"> , </t>
    </r>
    <r>
      <rPr>
        <rFont val="Arial"/>
        <color rgb="FF1155CC"/>
        <u/>
      </rPr>
      <t>https://www.facebook.com/maxime.astuces/</t>
    </r>
    <r>
      <rPr/>
      <t xml:space="preserve"> , </t>
    </r>
    <r>
      <rPr>
        <rFont val="Arial"/>
        <color rgb="FF1155CC"/>
        <u/>
      </rPr>
      <t>https://www.youtube.com/@maximeastuces</t>
    </r>
  </si>
  <si>
    <t>Orian Messai</t>
  </si>
  <si>
    <t>https://www.youtube.com/c/OrianMessa%C3%AF/videos , https://www.instagram.com/orian.messai/</t>
  </si>
  <si>
    <t>Quarter</t>
  </si>
  <si>
    <r>
      <rPr>
        <rFont val="Arial"/>
        <color rgb="FF1155CC"/>
        <u/>
      </rPr>
      <t>https://www.tiktok.com/@quarter.elh?lang=en</t>
    </r>
    <r>
      <rPr/>
      <t xml:space="preserve"> , </t>
    </r>
    <r>
      <rPr>
        <rFont val="Arial"/>
        <color rgb="FF1155CC"/>
        <u/>
      </rPr>
      <t>https://www.instagram.com/quarter.elh/</t>
    </r>
  </si>
  <si>
    <t>Roro Crypto</t>
  </si>
  <si>
    <t>https://www.youtube.com/@rorovevo/videos , https://www.tiktok.com/@roroelguapo , https://t.me/+SD94FN8paAJ4HcEG , https://investx.fr/</t>
  </si>
  <si>
    <t>Roro Crypto - InvestX</t>
  </si>
  <si>
    <r>
      <rPr>
        <color rgb="FF1155CC"/>
        <u/>
      </rPr>
      <t>https://www.youtube.com/@rorovevo</t>
    </r>
    <r>
      <rPr/>
      <t xml:space="preserve"> , </t>
    </r>
    <r>
      <rPr>
        <color rgb="FF1155CC"/>
        <u/>
      </rPr>
      <t>https://t.me/roroivx</t>
    </r>
    <r>
      <rPr/>
      <t xml:space="preserve"> , </t>
    </r>
    <r>
      <rPr>
        <color rgb="FF1155CC"/>
        <u/>
      </rPr>
      <t>https://t.me/+SD94FN8paAJ4HcEG</t>
    </r>
  </si>
  <si>
    <t>Tagado</t>
  </si>
  <si>
    <r>
      <rPr>
        <color rgb="FF1155CC"/>
        <u/>
      </rPr>
      <t>https://x.com/TagadoBTC/</t>
    </r>
    <r>
      <rPr/>
      <t xml:space="preserve"> , </t>
    </r>
    <r>
      <rPr>
        <color rgb="FF1155CC"/>
        <u/>
      </rPr>
      <t>https://www.youtube.com/c/TagadoBitcoin</t>
    </r>
    <r>
      <rPr/>
      <t xml:space="preserve"> , </t>
    </r>
    <r>
      <rPr>
        <color rgb="FF1155CC"/>
        <u/>
      </rPr>
      <t>https://t.me/TagadoCrypto</t>
    </r>
    <r>
      <rPr/>
      <t xml:space="preserve"> , </t>
    </r>
    <r>
      <rPr>
        <color rgb="FF1155CC"/>
        <u/>
      </rPr>
      <t>https://leguidecrypto.substack.com/</t>
    </r>
  </si>
  <si>
    <t>TibTalks</t>
  </si>
  <si>
    <r>
      <rPr>
        <rFont val="Arial"/>
        <color rgb="FF1155CC"/>
        <u/>
      </rPr>
      <t>https://www.tiktok.com/@tib.talks?lang=fr</t>
    </r>
    <r>
      <rPr/>
      <t xml:space="preserve"> , </t>
    </r>
    <r>
      <rPr>
        <rFont val="Arial"/>
        <color rgb="FF1155CC"/>
        <u/>
      </rPr>
      <t>https://www.youtube.com/@TIBTalks/videos</t>
    </r>
    <r>
      <rPr/>
      <t xml:space="preserve">, </t>
    </r>
    <r>
      <rPr>
        <rFont val="Arial"/>
        <color rgb="FF1155CC"/>
        <u/>
      </rPr>
      <t>https://twitter.com/TIBTalks</t>
    </r>
  </si>
  <si>
    <t>Yoan GJ Play</t>
  </si>
  <si>
    <r>
      <rPr>
        <color rgb="FF1155CC"/>
        <u/>
      </rPr>
      <t>https://www.youtube.com/c/YoanAxie</t>
    </r>
    <r>
      <rPr/>
      <t xml:space="preserve"> , </t>
    </r>
    <r>
      <rPr>
        <color rgb="FF1155CC"/>
        <u/>
      </rPr>
      <t>https://x.com/Yoan_GJ</t>
    </r>
    <r>
      <rPr/>
      <t xml:space="preserve"> </t>
    </r>
  </si>
  <si>
    <t>Yrille</t>
  </si>
  <si>
    <r>
      <rPr>
        <color rgb="FF1155CC"/>
        <u/>
      </rPr>
      <t>https://www.youtube.com/@yrile/videos</t>
    </r>
    <r>
      <rPr/>
      <t xml:space="preserve"> , </t>
    </r>
    <r>
      <rPr>
        <color rgb="FF1155CC"/>
        <u/>
      </rPr>
      <t>https://twitter.com/YrileC</t>
    </r>
  </si>
  <si>
    <t>0xMistBlade</t>
  </si>
  <si>
    <t>https://x.com/0xmistblade</t>
  </si>
  <si>
    <t>English</t>
  </si>
  <si>
    <t>Tiko</t>
  </si>
  <si>
    <t>Solona, Volume</t>
  </si>
  <si>
    <t>0xSweep</t>
  </si>
  <si>
    <t>https://x.com/0xSweep</t>
  </si>
  <si>
    <t>ACX</t>
  </si>
  <si>
    <t>https://x.com/ACXtrades</t>
  </si>
  <si>
    <t>Alex Becker</t>
  </si>
  <si>
    <t>https://x.com/ZssBecker</t>
  </si>
  <si>
    <t>Alex Wacy</t>
  </si>
  <si>
    <t>https://twitter.com/wacy_time1</t>
  </si>
  <si>
    <t>Invesment, Trade, Volume</t>
  </si>
  <si>
    <t>Altcoin Daily</t>
  </si>
  <si>
    <t>https://www.instagram.com/altcoindaily/</t>
  </si>
  <si>
    <t>ALTSTEIN TRADE</t>
  </si>
  <si>
    <t>https://x.com/Altsteinn</t>
  </si>
  <si>
    <t>Ansem</t>
  </si>
  <si>
    <t>https://x.com/blknoiz06</t>
  </si>
  <si>
    <t>Ardizor</t>
  </si>
  <si>
    <t>https://twitter.com/ardizor</t>
  </si>
  <si>
    <t>Invesment, Brand Awaraness, Volume, Trade</t>
  </si>
  <si>
    <t>https://t.me/+bVPhgNX5MWRmNDBi</t>
  </si>
  <si>
    <t>Trade, Volume, Brand Awaraness, Invesment</t>
  </si>
  <si>
    <t>Ash Crypto</t>
  </si>
  <si>
    <t>https://x.com/Ashcryptoreal</t>
  </si>
  <si>
    <t>BagCalls</t>
  </si>
  <si>
    <t>https://x.com/BagCalls</t>
  </si>
  <si>
    <t>Big Wiz</t>
  </si>
  <si>
    <r>
      <rPr>
        <color rgb="FF1155CC"/>
        <u/>
      </rPr>
      <t>http://x.com/wisdommatic</t>
    </r>
    <r>
      <rPr/>
      <t xml:space="preserve">  , </t>
    </r>
    <r>
      <rPr>
        <color rgb="FF1155CC"/>
        <u/>
      </rPr>
      <t>http://t.me/cryptocoachpro</t>
    </r>
    <r>
      <rPr/>
      <t xml:space="preserve">  </t>
    </r>
  </si>
  <si>
    <t>BillionAireSon</t>
  </si>
  <si>
    <t>https://x.com/_BillionAireSon</t>
  </si>
  <si>
    <t>Bitcoin Page</t>
  </si>
  <si>
    <t>https://www.instagram.com/bitcoin.page/</t>
  </si>
  <si>
    <t>bitcoinpricedaily</t>
  </si>
  <si>
    <t>https://www.instagram.com/bitcoinpricedaily/</t>
  </si>
  <si>
    <t>Blockchain Bob</t>
  </si>
  <si>
    <t>https://x.com/blockchainbob</t>
  </si>
  <si>
    <t>Blocklantis</t>
  </si>
  <si>
    <t>https://www.instagram.com/blocklantis/</t>
  </si>
  <si>
    <t>Brommy</t>
  </si>
  <si>
    <r>
      <rPr>
        <color rgb="FF434343"/>
        <u/>
      </rPr>
      <t>https://x.com/brommmyy</t>
    </r>
    <r>
      <rPr>
        <color rgb="FF000000"/>
      </rPr>
      <t xml:space="preserve"> , </t>
    </r>
    <r>
      <rPr>
        <color rgb="FF1155CC"/>
        <u/>
      </rPr>
      <t>https://t.me/brommysbags</t>
    </r>
  </si>
  <si>
    <t>Bull BNB</t>
  </si>
  <si>
    <t>https://x.com/bull_bnb</t>
  </si>
  <si>
    <t>businesswithnoah</t>
  </si>
  <si>
    <t>https://www.tiktok.com/@businesswithnoah</t>
  </si>
  <si>
    <t>Carl the moon</t>
  </si>
  <si>
    <r>
      <rPr>
        <color rgb="FF000000"/>
      </rPr>
      <t xml:space="preserve">https://x.com/themooncarl , </t>
    </r>
    <r>
      <rPr>
        <color rgb="FF1155CC"/>
        <u/>
      </rPr>
      <t>https://www.youtube.com/@themoon</t>
    </r>
  </si>
  <si>
    <t>cevo</t>
  </si>
  <si>
    <t>https://x.com/cryptocevo?s=21&amp;t=AGOxdb9ccwSmcY2XtRjloA</t>
  </si>
  <si>
    <t>Coin Gape</t>
  </si>
  <si>
    <t>https://www.instagram.com/coingape/</t>
  </si>
  <si>
    <t>Coin Post</t>
  </si>
  <si>
    <r>
      <rPr>
        <color rgb="FF1155CC"/>
        <u/>
      </rPr>
      <t>https://www.youtube.com/channel/UCdSa35z0ZFiQQnhD1bFzgXQ</t>
    </r>
    <r>
      <rPr>
        <color rgb="FF000000"/>
      </rPr>
      <t xml:space="preserve"> </t>
    </r>
    <r>
      <rPr/>
      <t xml:space="preserve"> , </t>
    </r>
    <r>
      <rPr>
        <color rgb="FF1155CC"/>
        <u/>
      </rPr>
      <t>https://www.youtube.com/@coinpostpro5320</t>
    </r>
    <r>
      <rPr/>
      <t xml:space="preserve">  , </t>
    </r>
    <r>
      <rPr>
        <color rgb="FF1155CC"/>
        <u/>
      </rPr>
      <t>https://www.youtube.com/channel/UCUP66dHwZxisqlIYUXpDZQg</t>
    </r>
    <r>
      <rPr/>
      <t xml:space="preserve">  , </t>
    </r>
    <r>
      <rPr>
        <color rgb="FF1155CC"/>
        <u/>
      </rPr>
      <t>https://t.me/Coin_Post</t>
    </r>
    <r>
      <rPr/>
      <t xml:space="preserve">  , </t>
    </r>
    <r>
      <rPr>
        <color rgb="FF1155CC"/>
        <u/>
      </rPr>
      <t>https://t.me/cryptodaily</t>
    </r>
    <r>
      <rPr/>
      <t xml:space="preserve">  , </t>
    </r>
    <r>
      <rPr>
        <color rgb="FF1155CC"/>
        <u/>
      </rPr>
      <t>https://pro.similarweb.com/#/digitalsuite/websiteanalysis/overview/website-performance/*/999/1m?webSource=Total&amp;key=coinpost.finance</t>
    </r>
    <r>
      <rPr/>
      <t xml:space="preserve"> </t>
    </r>
  </si>
  <si>
    <t>CoinGrams</t>
  </si>
  <si>
    <t>https://www.instagram.com/coingrams/</t>
  </si>
  <si>
    <t>comet</t>
  </si>
  <si>
    <t>https://x.com/cometcalls</t>
  </si>
  <si>
    <t>Craftygems</t>
  </si>
  <si>
    <t>https://t.me/CraftyGems</t>
  </si>
  <si>
    <t>Crypto Ding</t>
  </si>
  <si>
    <t>https://www.instagram.com/cryptoding/</t>
  </si>
  <si>
    <t>Crypto Mason</t>
  </si>
  <si>
    <r>
      <rPr>
        <color rgb="FF434343"/>
        <u/>
      </rPr>
      <t>https://www.instagram.com/masonversluis/</t>
    </r>
    <r>
      <rPr>
        <color rgb="FF000000"/>
      </rPr>
      <t xml:space="preserve"> , </t>
    </r>
    <r>
      <rPr>
        <color rgb="FF1155CC"/>
        <u/>
      </rPr>
      <t>https://tiktok.com/@cryptomasun</t>
    </r>
  </si>
  <si>
    <t>Crypto Pablo</t>
  </si>
  <si>
    <t>https://www.instagram.com/official_cryptopablo/</t>
  </si>
  <si>
    <t>Crypto Pages</t>
  </si>
  <si>
    <t>https://www.instagram.com/crypto.pages/</t>
  </si>
  <si>
    <t>Crypto Rand (RR2 Capital)</t>
  </si>
  <si>
    <t>https://twitter.com/crypto_rand</t>
  </si>
  <si>
    <t xml:space="preserve">CryptoCapo_ </t>
  </si>
  <si>
    <t>https://x.com/CryptoCapo_</t>
  </si>
  <si>
    <t>cryptocita</t>
  </si>
  <si>
    <t>https://www.instagram.com/cryptocita/</t>
  </si>
  <si>
    <r>
      <rPr>
        <rFont val="Arial"/>
        <color rgb="FF1155CC"/>
        <u/>
      </rPr>
      <t>https://www.tiktok.com/@cryptocita</t>
    </r>
    <r>
      <rPr/>
      <t xml:space="preserve"> , </t>
    </r>
    <r>
      <rPr>
        <rFont val="Arial"/>
        <color rgb="FF1155CC"/>
        <u/>
      </rPr>
      <t>https://www.instagram.com/cryptocita/</t>
    </r>
  </si>
  <si>
    <t>Cryptocurrency World</t>
  </si>
  <si>
    <t>https://www.instagram.com/cryptoworld2020/</t>
  </si>
  <si>
    <t>CryptoGodJohn</t>
  </si>
  <si>
    <t>https://x.com/CryptoGodJohn</t>
  </si>
  <si>
    <t>Cryptolyze</t>
  </si>
  <si>
    <t>https://www.youtube.com/c/Cryptolyze/videos , https://twitter.com/Cryptolyze_tek , https://discord.com/invite/YKsPHa4Rcr</t>
  </si>
  <si>
    <t>CryptoMason &amp; Megz</t>
  </si>
  <si>
    <r>
      <rPr/>
      <t xml:space="preserve">https://www.tiktok.com/@cryptomasun , </t>
    </r>
    <r>
      <rPr>
        <color rgb="FF1155CC"/>
        <u/>
      </rPr>
      <t>https://x.com/masonversluis</t>
    </r>
  </si>
  <si>
    <t>CryptoMichael</t>
  </si>
  <si>
    <r>
      <rPr>
        <color rgb="FF1155CC"/>
        <u/>
      </rPr>
      <t>https://x.com/CryptoMichNL</t>
    </r>
    <r>
      <rPr>
        <color rgb="FF000000"/>
      </rPr>
      <t xml:space="preserve"> , </t>
    </r>
    <r>
      <rPr>
        <color rgb="FF1155CC"/>
        <u/>
      </rPr>
      <t>https://www.youtube.com/@cryptomichnl</t>
    </r>
  </si>
  <si>
    <t>CryptoPizzaGirl</t>
  </si>
  <si>
    <r>
      <rPr>
        <rFont val="&quot;Helvetica Neue&quot;"/>
        <color rgb="FF1155CC"/>
        <u/>
      </rPr>
      <t>https://www.tiktok.com/@cryptopizzagirl</t>
    </r>
  </si>
  <si>
    <t>CryptoRus</t>
  </si>
  <si>
    <t>https://www.youtube.com/c/CryptosRUs/videos , https://x.com/CryptosR_Us</t>
  </si>
  <si>
    <t>CryptoThannos</t>
  </si>
  <si>
    <t xml:space="preserve">https://twitter.com/CryptoThannos </t>
  </si>
  <si>
    <t>t.me/thanos_mind</t>
  </si>
  <si>
    <t>Cyclop</t>
  </si>
  <si>
    <t>https://twitter.com/nobrainflip , https://t.me/+uh1Ubbla3Us2MmRi</t>
  </si>
  <si>
    <t>Davinci</t>
  </si>
  <si>
    <t>https://www.youtube.com/@davincij15 , https://x.com/davincij15</t>
  </si>
  <si>
    <t>Dippy.eth</t>
  </si>
  <si>
    <t>https://x.com/dippy_eth</t>
  </si>
  <si>
    <t>Dusty BC</t>
  </si>
  <si>
    <r>
      <rPr>
        <rFont val="Arial"/>
        <color rgb="FF1155CC"/>
        <u/>
      </rPr>
      <t>https://www.youtube.com/c/DustyBC/videos</t>
    </r>
    <r>
      <rPr/>
      <t xml:space="preserve"> , </t>
    </r>
    <r>
      <rPr>
        <rFont val="Arial"/>
        <color rgb="FF1155CC"/>
        <u/>
      </rPr>
      <t>https://twitter.com/TheDustyBC</t>
    </r>
    <r>
      <rPr/>
      <t xml:space="preserve"> , </t>
    </r>
    <r>
      <rPr>
        <rFont val="Arial"/>
        <color rgb="FF1155CC"/>
        <u/>
      </rPr>
      <t>https://www.tiktok.com/@dustybc</t>
    </r>
  </si>
  <si>
    <t>Eric Cryptoman</t>
  </si>
  <si>
    <t>https://x.com/ericcryptoman</t>
  </si>
  <si>
    <t>Ethereum Updates</t>
  </si>
  <si>
    <t>https://www.instagram.com/ethereum_updates/</t>
  </si>
  <si>
    <t>Eunicedwong</t>
  </si>
  <si>
    <t>https://twitter.com/Eunicedwong</t>
  </si>
  <si>
    <t>Farmercist</t>
  </si>
  <si>
    <t>http://x.com/farmercist_eth</t>
  </si>
  <si>
    <t>Financial Wolf</t>
  </si>
  <si>
    <t>https://www.instagram.com/thefinancialwolf/</t>
  </si>
  <si>
    <t>fuel zee bags</t>
  </si>
  <si>
    <r>
      <rPr>
        <color rgb="FF1155CC"/>
        <u/>
      </rPr>
      <t>https://t.me/fuelzebagsss</t>
    </r>
  </si>
  <si>
    <t>Solona</t>
  </si>
  <si>
    <t>Gainzy</t>
  </si>
  <si>
    <t>https://x.com/gainzy222</t>
  </si>
  <si>
    <t>GEM DETECTER</t>
  </si>
  <si>
    <t>https://x.com/gem_detecter</t>
  </si>
  <si>
    <t>GEM INSIDER</t>
  </si>
  <si>
    <t>https://x.com/gem_insider</t>
  </si>
  <si>
    <t>GennadyM</t>
  </si>
  <si>
    <t>https://www.youtube.com/@gennadym</t>
  </si>
  <si>
    <t>Hardy</t>
  </si>
  <si>
    <t>https://x.com/degen_hardy</t>
  </si>
  <si>
    <t>Ignas</t>
  </si>
  <si>
    <t>https://x.com/DefiIgnas</t>
  </si>
  <si>
    <t>InTELigent Cryptocurrency</t>
  </si>
  <si>
    <t>https://www.instagram.com/intelligentcryptocurrency/</t>
  </si>
  <si>
    <t>Investing Mentors</t>
  </si>
  <si>
    <t>https://www.instagram.com/investingmentors/</t>
  </si>
  <si>
    <t>icedknife</t>
  </si>
  <si>
    <t>https://x.com/icedknife</t>
  </si>
  <si>
    <t>inspiredanalyst</t>
  </si>
  <si>
    <r>
      <rPr>
        <rFont val="&quot;Helvetica Neue&quot;"/>
        <color rgb="FF1155CC"/>
        <u/>
      </rPr>
      <t>https://www.tiktok.com/@inspiredanalyst</t>
    </r>
  </si>
  <si>
    <t>Joe Parys 11</t>
  </si>
  <si>
    <t>Joe Parys</t>
  </si>
  <si>
    <t>https://www.youtube.com/@JoeParysCrypto/videos , https://twitter.com/JoeParys , https://www.tiktok.com/@joeparys,https://www.instagram.com/joeparys , https://www.youtube.com/@JoeParysCrypto/videos</t>
  </si>
  <si>
    <t>jollygreeninvestor</t>
  </si>
  <si>
    <t>https://www.tiktok.com/@jollygreeninvestor</t>
  </si>
  <si>
    <t>Justin Wu</t>
  </si>
  <si>
    <t>https://twitter.com/hackapreneur</t>
  </si>
  <si>
    <t>King.sol</t>
  </si>
  <si>
    <t>https://x.com/teddi_speaks</t>
  </si>
  <si>
    <t>Lady of Crypto</t>
  </si>
  <si>
    <r>
      <rPr>
        <color rgb="FF434343"/>
        <u/>
      </rPr>
      <t>https://www.youtube.com/@LadyOfCrypto/videos</t>
    </r>
    <r>
      <rPr>
        <color rgb="FF000000"/>
      </rPr>
      <t xml:space="preserve"> , </t>
    </r>
    <r>
      <rPr>
        <color rgb="FF1155CC"/>
        <u/>
      </rPr>
      <t>https://twitter.com/LadyofCrypto1</t>
    </r>
  </si>
  <si>
    <t>Lark Davis</t>
  </si>
  <si>
    <r>
      <rPr>
        <color rgb="FF1155CC"/>
        <u/>
      </rPr>
      <t>https://www.youtube.com/@TheCryptoLark</t>
    </r>
    <r>
      <rPr/>
      <t xml:space="preserve"> , </t>
    </r>
    <r>
      <rPr>
        <color rgb="FF1155CC"/>
        <u/>
      </rPr>
      <t>https://x.com/TheCryptoLark</t>
    </r>
  </si>
  <si>
    <t>Layah Heilpern</t>
  </si>
  <si>
    <t xml:space="preserve">https://www.youtube.com/@LayahHeilpern/videos , https://x.com/LayahHeilpern , https://t.me/+Pzl_0PTVlI5hYmRk </t>
  </si>
  <si>
    <t>Levi</t>
  </si>
  <si>
    <r>
      <rPr>
        <color rgb="FF434343"/>
        <u/>
      </rPr>
      <t>https://www.youtube.com/c/CryptoKingg/videos</t>
    </r>
    <r>
      <rPr>
        <color rgb="FF000000"/>
      </rPr>
      <t xml:space="preserve">   </t>
    </r>
    <r>
      <rPr>
        <color rgb="FF1155CC"/>
        <u/>
      </rPr>
      <t>https://twitter.com/LeviRietveld</t>
    </r>
  </si>
  <si>
    <t>Volume, Trade, Invesment</t>
  </si>
  <si>
    <t>Luke Belmar</t>
  </si>
  <si>
    <t>https://x.com/lukebelmar</t>
  </si>
  <si>
    <t>Macandbtc</t>
  </si>
  <si>
    <t>https://x.com/MacnBTC</t>
  </si>
  <si>
    <t>MadApes Calls</t>
  </si>
  <si>
    <r>
      <rPr>
        <color rgb="FF1155CC"/>
        <u/>
      </rPr>
      <t>https://t.me/mad_apes_call</t>
    </r>
  </si>
  <si>
    <t>ManLy</t>
  </si>
  <si>
    <t>https://x.com/ManLyNFT</t>
  </si>
  <si>
    <t>Mario Nawfal</t>
  </si>
  <si>
    <t>https://x.com/MarioNawfal</t>
  </si>
  <si>
    <t>Marvin Favis</t>
  </si>
  <si>
    <r>
      <rPr>
        <rFont val="&quot;Helvetica Neue&quot;"/>
        <color rgb="FF1155CC"/>
        <u/>
      </rPr>
      <t>https://www.tiktok.com/@marvinfavisofficial?lang=fr</t>
    </r>
  </si>
  <si>
    <t>Megbzk</t>
  </si>
  <si>
    <r>
      <rPr>
        <color rgb="FF434343"/>
        <u/>
      </rPr>
      <t>https://www.tiktok.com/@megbzk</t>
    </r>
    <r>
      <rPr>
        <color rgb="FF000000"/>
      </rPr>
      <t xml:space="preserve"> , </t>
    </r>
    <r>
      <rPr>
        <color rgb="FF1155CC"/>
        <u/>
      </rPr>
      <t>https://www.youtube.com/@megbzk/videos</t>
    </r>
    <r>
      <rPr>
        <color rgb="FF000000"/>
      </rPr>
      <t xml:space="preserve"> , </t>
    </r>
    <r>
      <rPr>
        <color rgb="FF1155CC"/>
        <u/>
      </rPr>
      <t>https://twitter.com/megbzk</t>
    </r>
  </si>
  <si>
    <t>megbzk</t>
  </si>
  <si>
    <r>
      <rPr>
        <rFont val="Arial"/>
        <color rgb="FF1155CC"/>
        <u/>
      </rPr>
      <t>https://www.tiktok.com/@megbzk</t>
    </r>
    <r>
      <rPr/>
      <t xml:space="preserve"> , </t>
    </r>
    <r>
      <rPr>
        <rFont val="Arial"/>
        <color rgb="FF1155CC"/>
        <u/>
      </rPr>
      <t>https://instagram.com/megbzk</t>
    </r>
  </si>
  <si>
    <t>Meta Culture</t>
  </si>
  <si>
    <t>https://www.instagram.com/metaculture/</t>
  </si>
  <si>
    <t>Meta Gorgonite</t>
  </si>
  <si>
    <t>https://x.com/MetaGorgonite</t>
  </si>
  <si>
    <t>Michael Sixgods</t>
  </si>
  <si>
    <t>https://x.com/MichaelSixgods</t>
  </si>
  <si>
    <t>Miles Deutscher</t>
  </si>
  <si>
    <r>
      <rPr>
        <color rgb="FF1155CC"/>
        <u/>
      </rPr>
      <t>https://x.com/milesdeutscher</t>
    </r>
    <r>
      <rPr/>
      <t xml:space="preserve"> , </t>
    </r>
    <r>
      <rPr>
        <color rgb="FF1155CC"/>
        <u/>
      </rPr>
      <t>https://www.youtube.com/@milesdeutscher1357/videos</t>
    </r>
  </si>
  <si>
    <t>moneycoachvince</t>
  </si>
  <si>
    <r>
      <rPr>
        <rFont val="&quot;Helvetica Neue&quot;"/>
        <color rgb="FF1155CC"/>
        <u/>
      </rPr>
      <t>https://www.tiktok.com/@moneycoachvince</t>
    </r>
  </si>
  <si>
    <t>Mr. APE aka GEM Hunter</t>
  </si>
  <si>
    <t>https://x.com/deg_ape</t>
  </si>
  <si>
    <t>NFT Globally</t>
  </si>
  <si>
    <t>https://www.instagram.com/nft.globally/</t>
  </si>
  <si>
    <t>No BS Crypto</t>
  </si>
  <si>
    <r>
      <rPr>
        <color rgb="FF1155CC"/>
        <u/>
      </rPr>
      <t>https://www.youtube.com/@NoBsCryptoOfficial</t>
    </r>
    <r>
      <rPr/>
      <t xml:space="preserve"> , </t>
    </r>
    <r>
      <rPr>
        <color rgb="FF1155CC"/>
        <u/>
      </rPr>
      <t>https://x.com/noBScrypto</t>
    </r>
  </si>
  <si>
    <t>notEezzy</t>
  </si>
  <si>
    <t>https://twitter.com/notEezzy</t>
  </si>
  <si>
    <t>Okan</t>
  </si>
  <si>
    <r>
      <rPr>
        <color rgb="FF000000"/>
      </rPr>
      <t xml:space="preserve"> </t>
    </r>
    <r>
      <rPr>
        <color rgb="FF1155CC"/>
        <u/>
      </rPr>
      <t>https://x.com/okanaksoy54</t>
    </r>
    <r>
      <rPr>
        <color rgb="FF000000"/>
      </rPr>
      <t xml:space="preserve"> </t>
    </r>
  </si>
  <si>
    <t>@okanaksoy</t>
  </si>
  <si>
    <t>overdose_ai</t>
  </si>
  <si>
    <t>https://x.com/overdose_ai</t>
  </si>
  <si>
    <t>PENGU is what i love</t>
  </si>
  <si>
    <r>
      <rPr>
        <color rgb="FF434343"/>
        <u/>
      </rPr>
      <t>http://x.com/fuelkek</t>
    </r>
    <r>
      <rPr>
        <color rgb="FF000000"/>
      </rPr>
      <t xml:space="preserve"> , </t>
    </r>
    <r>
      <rPr>
        <color rgb="FF1155CC"/>
        <u/>
      </rPr>
      <t>https://t.me/fuelzebagsss</t>
    </r>
  </si>
  <si>
    <t>Pentoshi</t>
  </si>
  <si>
    <t>https://x.com/Pentosh1</t>
  </si>
  <si>
    <t>Pix</t>
  </si>
  <si>
    <t>https://x.com/PixOnChain</t>
  </si>
  <si>
    <t>Poseidon</t>
  </si>
  <si>
    <r>
      <rPr>
        <color rgb="FF434343"/>
        <u/>
      </rPr>
      <t>https://www.instagram.com/joeparys/</t>
    </r>
    <r>
      <rPr>
        <color rgb="FF000000"/>
      </rPr>
      <t xml:space="preserve"> , </t>
    </r>
    <r>
      <rPr>
        <color rgb="FF1155CC"/>
        <u/>
      </rPr>
      <t>https://www.youtube.com/@JoeParysCrypto/videos</t>
    </r>
  </si>
  <si>
    <t>Prince Cryptokang</t>
  </si>
  <si>
    <t>https://www.instagram.com/cryptokang/</t>
  </si>
  <si>
    <r>
      <rPr>
        <rFont val="Arial"/>
        <color rgb="FF1155CC"/>
        <u/>
      </rPr>
      <t>https://www.tiktok.com/@cryptokang.reviews</t>
    </r>
    <r>
      <rPr/>
      <t xml:space="preserve"> , </t>
    </r>
    <r>
      <rPr>
        <rFont val="Arial"/>
        <color rgb="FF1155CC"/>
        <u/>
      </rPr>
      <t>https://www.instagram.com/cryptokang/</t>
    </r>
    <r>
      <rPr/>
      <t xml:space="preserve"> , </t>
    </r>
    <r>
      <rPr>
        <rFont val="Arial"/>
        <color rgb="FF1155CC"/>
        <u/>
      </rPr>
      <t>https://twitter.com/thecryptokang</t>
    </r>
    <r>
      <rPr/>
      <t xml:space="preserve"> , </t>
    </r>
    <r>
      <rPr>
        <rFont val="Arial"/>
        <color rgb="FF1155CC"/>
        <u/>
      </rPr>
      <t>https://www.twitch.tv/thecryptokang</t>
    </r>
  </si>
  <si>
    <t>Ramy Zaycman</t>
  </si>
  <si>
    <t>https://www.youtube.com/@ramyzaycmanyt</t>
  </si>
  <si>
    <t>Real_Doomed_Crypto</t>
  </si>
  <si>
    <t>https://www.tiktok.com/@real_doomed_crypto</t>
  </si>
  <si>
    <t>Route 2 FI</t>
  </si>
  <si>
    <t>https://x.com/Route2FI</t>
  </si>
  <si>
    <t>Rover</t>
  </si>
  <si>
    <r>
      <rPr>
        <color rgb="FF1155CC"/>
        <u/>
      </rPr>
      <t>https://x.com/rovercrc</t>
    </r>
    <r>
      <rPr/>
      <t xml:space="preserve"> , </t>
    </r>
    <r>
      <rPr>
        <color rgb="FF1155CC"/>
        <u/>
      </rPr>
      <t>https://www.youtube.com/@CryptoRover</t>
    </r>
    <r>
      <rPr/>
      <t xml:space="preserve">  </t>
    </r>
  </si>
  <si>
    <t>rutradebtc</t>
  </si>
  <si>
    <t>https://twitter.com/rutradebtc</t>
  </si>
  <si>
    <t>t.me/rutradebtc</t>
  </si>
  <si>
    <t>sarafinance</t>
  </si>
  <si>
    <t>https://www.tiktok.com/@sarafinance</t>
  </si>
  <si>
    <t>Satoshi Stacker</t>
  </si>
  <si>
    <r>
      <rPr/>
      <t xml:space="preserve">https://twitter.com/StackerSatoshi , https://www.youtube.com/@stackersatoshi/videos , https://www.youtube.com/@satoshistackerfr4041/videos , https://www.youtube.com/@satoshistackerde5649/videos , https://www.youtube.com/@satoshistackerespanol8644/videos , </t>
    </r>
    <r>
      <rPr>
        <color rgb="FF1155CC"/>
        <u/>
      </rPr>
      <t>https://www.youtube.com/@satoshistackerarabic3172/videos</t>
    </r>
  </si>
  <si>
    <t>Scott Melker</t>
  </si>
  <si>
    <r>
      <rPr>
        <color rgb="FF1155CC"/>
        <u/>
      </rPr>
      <t>https://x.com/scottmelker</t>
    </r>
    <r>
      <rPr/>
      <t xml:space="preserve"> , </t>
    </r>
    <r>
      <rPr>
        <color rgb="FF1155CC"/>
        <u/>
      </rPr>
      <t>https://www.youtube.com/scottmelker</t>
    </r>
    <r>
      <rPr/>
      <t xml:space="preserve"> , </t>
    </r>
    <r>
      <rPr>
        <color rgb="FF1155CC"/>
        <u/>
      </rPr>
      <t>https://www.youtube.com/@CryptoBanterGroup</t>
    </r>
  </si>
  <si>
    <t>Share Crypto</t>
  </si>
  <si>
    <t>https://www.instagram.com/sharecrypto/</t>
  </si>
  <si>
    <t>Sheldon The Snipper</t>
  </si>
  <si>
    <r>
      <rPr>
        <color rgb="FF1155CC"/>
        <u/>
      </rPr>
      <t>https://x.com/Sheldon_Sniper</t>
    </r>
    <r>
      <rPr/>
      <t xml:space="preserve"> , </t>
    </r>
    <r>
      <rPr>
        <color rgb="FF1155CC"/>
        <u/>
      </rPr>
      <t>https://www.youtube.com/scottmelker</t>
    </r>
    <r>
      <rPr/>
      <t xml:space="preserve"> , </t>
    </r>
    <r>
      <rPr>
        <color rgb="FF1155CC"/>
        <u/>
      </rPr>
      <t>https://www.youtube.com/@CryptoBanterGroup</t>
    </r>
  </si>
  <si>
    <t>Stock Market Times</t>
  </si>
  <si>
    <t>https://www.instagram.com/stockmarket_times/</t>
  </si>
  <si>
    <t>The Alchemist</t>
  </si>
  <si>
    <t>https://x.com/Crypto_Alch</t>
  </si>
  <si>
    <t>The House Of Crypto</t>
  </si>
  <si>
    <r>
      <rPr>
        <color rgb="FF1155CC"/>
        <u/>
      </rPr>
      <t>https://www.youtube.com/@TheHouseOfCrypto/videos</t>
    </r>
    <r>
      <rPr/>
      <t xml:space="preserve"> , </t>
    </r>
    <r>
      <rPr>
        <color rgb="FF1155CC"/>
        <u/>
      </rPr>
      <t>https://www.youtube.com/@Schoolofcrypto-hoc</t>
    </r>
    <r>
      <rPr/>
      <t xml:space="preserve"> , </t>
    </r>
    <r>
      <rPr>
        <color rgb="FF1155CC"/>
        <u/>
      </rPr>
      <t>https://x.com/Peter_thoc</t>
    </r>
    <r>
      <rPr/>
      <t xml:space="preserve"> , </t>
    </r>
    <r>
      <rPr>
        <color rgb="FF1155CC"/>
        <u/>
      </rPr>
      <t>https://t.me/+LPHXPe0nWlk4OTA1</t>
    </r>
    <r>
      <rPr/>
      <t xml:space="preserve"> </t>
    </r>
  </si>
  <si>
    <t>The Wolf Of Bitcoins</t>
  </si>
  <si>
    <t>https://www.tiktok.com/@thewolfofbitcoins</t>
  </si>
  <si>
    <t>thecryptohippie</t>
  </si>
  <si>
    <t>https://www.tiktok.com/@thecryptohippie</t>
  </si>
  <si>
    <t>theniftyinvestor</t>
  </si>
  <si>
    <r>
      <rPr>
        <rFont val="&quot;Helvetica Neue&quot;"/>
        <color rgb="FF1155CC"/>
        <u/>
      </rPr>
      <t>https://www.tiktok.com/@theniftyinvestor</t>
    </r>
  </si>
  <si>
    <t>therealmelaninking</t>
  </si>
  <si>
    <r>
      <rPr>
        <rFont val="&quot;Helvetica Neue&quot;"/>
        <color rgb="FF1155CC"/>
        <u/>
      </rPr>
      <t>https://www.tiktok.com/@therealmelaninking</t>
    </r>
  </si>
  <si>
    <t>https://x.com/tikooww</t>
  </si>
  <si>
    <t>Tracer</t>
  </si>
  <si>
    <r>
      <rPr>
        <color rgb="FF1155CC"/>
        <u/>
      </rPr>
      <t>https://twitter.com/defitracer</t>
    </r>
    <r>
      <rPr>
        <color rgb="FF000000"/>
      </rPr>
      <t xml:space="preserve"> , </t>
    </r>
    <r>
      <rPr>
        <color rgb="FF1155CC"/>
        <u/>
      </rPr>
      <t>https://t.me/TracerAlpha</t>
    </r>
    <r>
      <rPr>
        <color rgb="FF000000"/>
      </rPr>
      <t xml:space="preserve"> </t>
    </r>
  </si>
  <si>
    <t>Tradinator</t>
  </si>
  <si>
    <t>https://x.com/Tradinator33</t>
  </si>
  <si>
    <t>Virtual Bacon</t>
  </si>
  <si>
    <r>
      <rPr>
        <color rgb="FF434343"/>
        <u/>
      </rPr>
      <t>https://www.youtube.com/@VirtualBacon/videos</t>
    </r>
    <r>
      <rPr>
        <color rgb="FF000000"/>
      </rPr>
      <t xml:space="preserve"> , </t>
    </r>
    <r>
      <rPr>
        <color rgb="FF1155CC"/>
        <u/>
      </rPr>
      <t>https://www.tiktok.com/@virtualbacon</t>
    </r>
  </si>
  <si>
    <r>
      <rPr>
        <rFont val="Arial"/>
        <color rgb="FF1155CC"/>
        <u/>
      </rPr>
      <t>https://www.tiktok.com/@virtualbacon</t>
    </r>
    <r>
      <rPr/>
      <t xml:space="preserve"> , </t>
    </r>
    <r>
      <rPr>
        <rFont val="Arial"/>
        <color rgb="FF1155CC"/>
        <u/>
      </rPr>
      <t>https://www.youtube.com/@VirtualBacon/videos</t>
    </r>
  </si>
  <si>
    <t>Voskcoin</t>
  </si>
  <si>
    <t>https://www.youtube.com/@VoskCoin%60</t>
  </si>
  <si>
    <t>Wall Street Bets</t>
  </si>
  <si>
    <t>https://x.com/wallstreetbets</t>
  </si>
  <si>
    <t>White crypto</t>
  </si>
  <si>
    <t>https://www.instagram.com/alex_belov13/</t>
  </si>
  <si>
    <t>Wizz</t>
  </si>
  <si>
    <t>https://twitter.com/CryptoWizardd</t>
  </si>
  <si>
    <t>Corné Marchand</t>
  </si>
  <si>
    <t>https://www.youtube.com/@cornemarchand</t>
  </si>
  <si>
    <t>Dutch</t>
  </si>
  <si>
    <t>Anthony Alvarez</t>
  </si>
  <si>
    <t>https://www.youtube.com/@Thonyalvarez , https://www.instagram.com/thonyalvarez_/</t>
  </si>
  <si>
    <t>Colombia</t>
  </si>
  <si>
    <t>Cryptojams</t>
  </si>
  <si>
    <t>https://www.youtube.com/@CryptoJams</t>
  </si>
  <si>
    <t>ABC Bitcoin Times</t>
  </si>
  <si>
    <r>
      <rPr>
        <rFont val="&quot;Helvetica Neue&quot;"/>
        <color rgb="FF1155CC"/>
        <u/>
      </rPr>
      <t>https://www.youtube.com/channel/UCYID-1RNw63kbCV3iAShmog/featured</t>
    </r>
  </si>
  <si>
    <t>Chinese</t>
  </si>
  <si>
    <t>Andehui志辉</t>
  </si>
  <si>
    <r>
      <rPr>
        <rFont val="&quot;Helvetica Neue&quot;"/>
        <color rgb="FF1155CC"/>
        <u/>
      </rPr>
      <t>https://www.youtube.com/c/Andehui%E5%BF%97%E8%BE%89</t>
    </r>
  </si>
  <si>
    <t>Calman</t>
  </si>
  <si>
    <r>
      <rPr>
        <rFont val="&quot;Helvetica Neue&quot;"/>
        <color rgb="FF1155CC"/>
        <u/>
      </rPr>
      <t>https://twitter.com/CalmanBTC</t>
    </r>
  </si>
  <si>
    <r>
      <rPr>
        <rFont val="&quot;Helvetica Neue&quot;"/>
        <color rgb="FF1155CC"/>
        <u/>
      </rPr>
      <t>https://twitter.com/Calman16910515</t>
    </r>
  </si>
  <si>
    <t>Coocolab</t>
  </si>
  <si>
    <r>
      <rPr>
        <rFont val="&quot;Helvetica Neue&quot;"/>
        <color rgb="FF1155CC"/>
        <u/>
      </rPr>
      <t>https://www.youtube.com/c/Coocolab/videos</t>
    </r>
  </si>
  <si>
    <t>Crypto Arnaud</t>
  </si>
  <si>
    <r>
      <rPr>
        <rFont val="&quot;Helvetica Neue&quot;"/>
        <color rgb="FF1155CC"/>
        <u/>
      </rPr>
      <t>https://x.com/CryptosArnault</t>
    </r>
  </si>
  <si>
    <t>CryptoWilson</t>
  </si>
  <si>
    <r>
      <rPr>
        <rFont val="&quot;Helvetica Neue&quot;"/>
        <color rgb="FF1155CC"/>
        <u/>
      </rPr>
      <t>https://twitter.com/cryptowilson_?t=HGbOSqJTBCe1ay51WZyhzA&amp;s=09</t>
    </r>
  </si>
  <si>
    <t>FEI | 0xKEY</t>
  </si>
  <si>
    <r>
      <rPr>
        <rFont val="&quot;Helvetica Neue&quot;"/>
        <color rgb="FF1155CC"/>
        <u/>
      </rPr>
      <t>https://twitter.com/FEIlXIE</t>
    </r>
  </si>
  <si>
    <t>Fiona</t>
  </si>
  <si>
    <r>
      <rPr>
        <rFont val="&quot;Helvetica Neue&quot;"/>
        <color rgb="FF1155CC"/>
        <u/>
      </rPr>
      <t>https://twitter.com/nft_hu</t>
    </r>
  </si>
  <si>
    <t>Haotian</t>
  </si>
  <si>
    <r>
      <rPr>
        <rFont val="&quot;Helvetica Neue&quot;"/>
        <color rgb="FF1155CC"/>
        <u/>
      </rPr>
      <t>https://twitter.com/tmel0211</t>
    </r>
  </si>
  <si>
    <t>K线教主</t>
  </si>
  <si>
    <r>
      <rPr>
        <rFont val="&quot;Helvetica Neue&quot;"/>
        <color rgb="FF1155CC"/>
        <u/>
      </rPr>
      <t>https://twitter.com/Paris13Jeanne</t>
    </r>
  </si>
  <si>
    <t>Lady Crypto</t>
  </si>
  <si>
    <r>
      <rPr>
        <rFont val="&quot;Helvetica Neue&quot;"/>
        <color rgb="FF1155CC"/>
        <u/>
      </rPr>
      <t>https://x.com/CryptoLady_M</t>
    </r>
  </si>
  <si>
    <t>Nancy</t>
  </si>
  <si>
    <r>
      <rPr>
        <rFont val="&quot;Helvetica Neue&quot;"/>
        <color rgb="FF1155CC"/>
        <u/>
      </rPr>
      <t>https://twitter.com/nancy_c813</t>
    </r>
  </si>
  <si>
    <t>NingNing</t>
  </si>
  <si>
    <r>
      <rPr>
        <rFont val="&quot;Helvetica Neue&quot;"/>
        <color rgb="FF1155CC"/>
        <u/>
      </rPr>
      <t>https://twitter.com/0xNing0x</t>
    </r>
  </si>
  <si>
    <t>Victalk</t>
  </si>
  <si>
    <r>
      <rPr>
        <rFont val="&quot;Helvetica Neue&quot;"/>
        <color rgb="FF1155CC"/>
        <u/>
      </rPr>
      <t>https://twitter.com/victalk_eth</t>
    </r>
  </si>
  <si>
    <t>Vvicky绵绵</t>
  </si>
  <si>
    <r>
      <rPr>
        <rFont val="&quot;Helvetica Neue&quot;"/>
        <color rgb="FF1155CC"/>
        <u/>
      </rPr>
      <t>https://twitter.com/vvickym2</t>
    </r>
  </si>
  <si>
    <t>Wlabs</t>
  </si>
  <si>
    <r>
      <rPr>
        <rFont val="&quot;Helvetica Neue&quot;"/>
        <color rgb="FF1155CC"/>
        <u/>
      </rPr>
      <t>https://twitter.com/GuaTianGuaTian</t>
    </r>
  </si>
  <si>
    <t>不二.eth</t>
  </si>
  <si>
    <r>
      <rPr>
        <rFont val="&quot;Helvetica Neue&quot;"/>
        <color rgb="FF1155CC"/>
        <u/>
      </rPr>
      <t>https://twitter.com/buereth</t>
    </r>
  </si>
  <si>
    <t>十一地主</t>
  </si>
  <si>
    <r>
      <rPr>
        <rFont val="&quot;Helvetica Neue&quot;"/>
        <color rgb="FF1155CC"/>
        <u/>
      </rPr>
      <t>https://twitter.com/11dizhu</t>
    </r>
  </si>
  <si>
    <t>大方BigFang</t>
  </si>
  <si>
    <r>
      <rPr>
        <rFont val="&quot;Helvetica Neue&quot;"/>
        <color rgb="FF1155CC"/>
        <u/>
      </rPr>
      <t>https://www.youtube.com/channel/UCMkk-akdGTugIVu10-bXQEQ/featured</t>
    </r>
  </si>
  <si>
    <t>妙蛙种子</t>
  </si>
  <si>
    <r>
      <rPr>
        <rFont val="&quot;Helvetica Neue&quot;"/>
        <color rgb="FF1155CC"/>
        <u/>
      </rPr>
      <t>https://twitter.com/NintendoDoomed</t>
    </r>
  </si>
  <si>
    <t>子清</t>
  </si>
  <si>
    <r>
      <rPr>
        <rFont val="&quot;Helvetica Neue&quot;"/>
        <color rgb="FF1155CC"/>
        <u/>
      </rPr>
      <t>https://twitter.com/qklxsqf</t>
    </r>
  </si>
  <si>
    <t>愉悦</t>
  </si>
  <si>
    <r>
      <rPr>
        <rFont val="&quot;Helvetica Neue&quot;"/>
        <color rgb="FF1155CC"/>
        <u/>
      </rPr>
      <t>https://twitter.com/yuyue_chris</t>
    </r>
  </si>
  <si>
    <t>摸金校尉</t>
  </si>
  <si>
    <r>
      <rPr>
        <rFont val="&quot;Helvetica Neue&quot;"/>
        <color rgb="FF1155CC"/>
        <u/>
      </rPr>
      <t>https://twitter.com/0xBclub</t>
    </r>
  </si>
  <si>
    <t>杀破狼</t>
  </si>
  <si>
    <r>
      <rPr>
        <rFont val="&quot;Helvetica Neue&quot;"/>
        <color rgb="FF1155CC"/>
        <u/>
      </rPr>
      <t>https://twitter.com/0xKillTheWolf</t>
    </r>
  </si>
  <si>
    <t>茶哥</t>
  </si>
  <si>
    <r>
      <rPr>
        <rFont val="&quot;Helvetica Neue&quot;"/>
        <color rgb="FF1155CC"/>
        <u/>
      </rPr>
      <t>https://twitter.com/R5Z5G</t>
    </r>
  </si>
  <si>
    <t>萌小主</t>
  </si>
  <si>
    <r>
      <rPr>
        <rFont val="&quot;Helvetica Neue&quot;"/>
        <color rgb="FF1155CC"/>
        <u/>
      </rPr>
      <t>https://twitter.com/TokenMore</t>
    </r>
  </si>
  <si>
    <t>蜡币小鑫</t>
  </si>
  <si>
    <r>
      <rPr>
        <rFont val="&quot;Helvetica Neue&quot;"/>
        <color rgb="FF1155CC"/>
        <u/>
      </rPr>
      <t>https://twitter.com/zhuanfgghjnb</t>
    </r>
  </si>
  <si>
    <t>链游小捕手</t>
  </si>
  <si>
    <r>
      <rPr>
        <rFont val="&quot;Helvetica Neue&quot;"/>
        <color rgb="FF1155CC"/>
        <u/>
      </rPr>
      <t>https://twitter.com/iamyourchaos</t>
    </r>
  </si>
  <si>
    <r>
      <rPr>
        <rFont val="&quot;Helvetica Neue&quot;"/>
        <color rgb="FF1155CC"/>
        <u/>
      </rPr>
      <t>https://twitter.com/iamyourchaos</t>
    </r>
  </si>
  <si>
    <t>雨中狂睡</t>
  </si>
  <si>
    <r>
      <rPr>
        <rFont val="&quot;Helvetica Neue&quot;"/>
        <color rgb="FF1155CC"/>
        <u/>
      </rPr>
      <t>https://twitter.com/0xSleepinRain</t>
    </r>
  </si>
  <si>
    <t>雪球</t>
  </si>
  <si>
    <r>
      <rPr>
        <rFont val="&quot;Helvetica Neue&quot;"/>
        <color rgb="FF1155CC"/>
        <u/>
      </rPr>
      <t>https://twitter.com/xueqiu88</t>
    </r>
  </si>
  <si>
    <t>Cryptomaniacos</t>
  </si>
  <si>
    <t>https://www.youtube.com/c/CRIPTOMANIACOS/videos</t>
  </si>
  <si>
    <t>Brasilian</t>
  </si>
  <si>
    <t>Investidor 4.2</t>
  </si>
  <si>
    <t>https://www.youtube.com/channel/UC8oofAsuieQv3imZGvaUDOQ/featured ,  https://www.instagram.com/lucas.amendolaa/</t>
  </si>
  <si>
    <t>Investimento sem KO</t>
  </si>
  <si>
    <t>https://www.youtube.com/@investimentosemko/videos</t>
  </si>
  <si>
    <t>Luiz Fernandoz</t>
  </si>
  <si>
    <t>https://www.youtube.com/@lzacademy.pro1</t>
  </si>
  <si>
    <t>Marcos Lima</t>
  </si>
  <si>
    <t>https://www.youtube.com/@Marcoslima-</t>
  </si>
  <si>
    <t>Matheus Bordini</t>
  </si>
  <si>
    <t>https://www.youtube.com/@matheus.bordin</t>
  </si>
  <si>
    <t>Mychel Mendes</t>
  </si>
  <si>
    <t>https://www.youtube.com/@MychelMendes</t>
  </si>
  <si>
    <t>Sandro Cabrales</t>
  </si>
  <si>
    <t>https://youtube.com/@SandroCabrales , https://x.com/sandrocabrales</t>
  </si>
  <si>
    <t>Tubarao Da Bolsa</t>
  </si>
  <si>
    <t>https://www.youtube.com/c/TUBAR%C3%83ODABOLSA</t>
  </si>
  <si>
    <t>Crypto Futuro</t>
  </si>
  <si>
    <t>https://www.youtube.com/c/CryptoFuturo , https://twitter.com/CryptoFuturo1 ,  https://t.me/CryptoFuturoGrupo</t>
  </si>
  <si>
    <t>Argentina</t>
  </si>
  <si>
    <t>Diego Seib</t>
  </si>
  <si>
    <t>https://www.instagram.com/diegoseib</t>
  </si>
  <si>
    <t>KmanuS88</t>
  </si>
  <si>
    <t>https://www.youtube.com/kmanus88 , https://twitter.com/KmanuS88 , https://www.instagram.com/kmanus88/ , https://www.tiktok.com/@kmanus88</t>
  </si>
  <si>
    <t>Pablo aguer</t>
  </si>
  <si>
    <t>https://www.instagram.com/finanzaspablo/</t>
  </si>
  <si>
    <t>CRYPTOKSA</t>
  </si>
  <si>
    <t>https://x.com/Crypto_K_S_A?t=b6OxWHB_MIDAeRCvgJOSYA&amp;s=08</t>
  </si>
  <si>
    <t>Arabic</t>
  </si>
  <si>
    <t>https://x.com/crypto_k_s_a</t>
  </si>
  <si>
    <t>Alex Krüger</t>
  </si>
  <si>
    <t>Altcoin Gordon</t>
  </si>
  <si>
    <t>ANBESSA</t>
  </si>
  <si>
    <t>Devchart</t>
  </si>
  <si>
    <t>DMT (Free) By Goodie</t>
  </si>
  <si>
    <t>https://t.me/GoodieCalls</t>
  </si>
  <si>
    <t>Kaduna</t>
  </si>
  <si>
    <t>MacroCRG</t>
  </si>
  <si>
    <t>Sharks Private Group</t>
  </si>
  <si>
    <r>
      <rPr>
        <color rgb="FF1155CC"/>
        <u/>
      </rPr>
      <t>https://t.me/sharkyprivate</t>
    </r>
  </si>
  <si>
    <t>Viktor</t>
  </si>
  <si>
    <t>Kol</t>
  </si>
  <si>
    <t>Social Media</t>
  </si>
  <si>
    <t>Count</t>
  </si>
  <si>
    <t>Price</t>
  </si>
  <si>
    <t>PriceNoCom</t>
  </si>
  <si>
    <t>1. sütun</t>
  </si>
  <si>
    <t>1</t>
  </si>
  <si>
    <t>atilla iletişime geçecek,magnor olarak sıfırdan fiyat alınacak</t>
  </si>
  <si>
    <t>Buy signal, X</t>
  </si>
  <si>
    <t>Youtube integration</t>
  </si>
  <si>
    <t>X, Buy signal</t>
  </si>
  <si>
    <t>2</t>
  </si>
  <si>
    <t>Telegram</t>
  </si>
  <si>
    <t>Fiyat alındı, instagram sayfası da var onun ücreti 400$ bize verdikleri fiyat, kom ile birlikte 450$.</t>
  </si>
  <si>
    <t>X, Telegram</t>
  </si>
  <si>
    <t>Price upon req</t>
  </si>
  <si>
    <t>Alex RT₿</t>
  </si>
  <si>
    <t>atilla iletişime geçecek,magnor olarak sıfırdan fiyat alınacak (ömer aracılığı ile alınacak)</t>
  </si>
  <si>
    <t>IG Story</t>
  </si>
  <si>
    <t>atilla iletişime geçecek,magnor olarak sıfırdan fiyat alınacak (eralp ile calıstıgımız soylenecek)</t>
  </si>
  <si>
    <t>IG Reels</t>
  </si>
  <si>
    <t>Ash</t>
  </si>
  <si>
    <t>X, Telegram, Buy signal</t>
  </si>
  <si>
    <t>4</t>
  </si>
  <si>
    <t>AMA</t>
  </si>
  <si>
    <t>Buy signal, X, Telegram</t>
  </si>
  <si>
    <t>Monthly 20-25 posts</t>
  </si>
  <si>
    <t>magnor olarak fiyat alınacak,pınar hanımla calısmıs pınardan bahsedilecek</t>
  </si>
  <si>
    <t>IG Post</t>
  </si>
  <si>
    <t>1 (24 hrs)</t>
  </si>
  <si>
    <t>1-2</t>
  </si>
  <si>
    <t>Buy signal</t>
  </si>
  <si>
    <t>Tiktok</t>
  </si>
  <si>
    <t>Price upon request</t>
  </si>
  <si>
    <t>IG Story, IG Post</t>
  </si>
  <si>
    <t>X, Telegram, Youtube</t>
  </si>
  <si>
    <t>3-4</t>
  </si>
  <si>
    <t>3</t>
  </si>
  <si>
    <t>Youtube, Youtube integration</t>
  </si>
  <si>
    <t>3-5</t>
  </si>
  <si>
    <t>Youtube, X, Telegram</t>
  </si>
  <si>
    <t>Tiktok, IG Reels</t>
  </si>
  <si>
    <t>3 (free alloc)</t>
  </si>
  <si>
    <t>IG Reels, IG Story</t>
  </si>
  <si>
    <t>Telegram, X, Youtube</t>
  </si>
  <si>
    <t>Telegram, Buy signal</t>
  </si>
  <si>
    <t>1 (or reel)</t>
  </si>
  <si>
    <t>Tiktok, Instagram</t>
  </si>
  <si>
    <t>Youtube integration, X</t>
  </si>
  <si>
    <t>Monthly support</t>
  </si>
  <si>
    <t>atilla iletişime geçecek,magnor olarak sıfırdan fiyat alınacak,emirle eskiden calısıldıgı ve emirin yeni sirketinin magnor oldugundan bahsedilecek</t>
  </si>
  <si>
    <t>tbd</t>
  </si>
  <si>
    <t>X Thread</t>
  </si>
  <si>
    <t>1 (1 min)</t>
  </si>
  <si>
    <t>1 (3-4 mins)</t>
  </si>
  <si>
    <t>X Quote</t>
  </si>
  <si>
    <t>Giveaway</t>
  </si>
  <si>
    <t>Youtube, Youtube integration, X</t>
  </si>
  <si>
    <t>1 + swipe up</t>
  </si>
  <si>
    <t>Youtube, IG Story, IG Post</t>
  </si>
  <si>
    <t>Instagram</t>
  </si>
  <si>
    <t>1 (or YT shorts)</t>
  </si>
  <si>
    <t>3(free alloc)</t>
  </si>
  <si>
    <r>
      <rPr>
        <color rgb="FF000000"/>
      </rPr>
      <t>K</t>
    </r>
    <r>
      <rPr>
        <color rgb="FF434343"/>
        <u/>
      </rPr>
      <t>riptolik</t>
    </r>
  </si>
  <si>
    <r>
      <rPr>
        <color rgb="FF000000"/>
      </rPr>
      <t>K</t>
    </r>
    <r>
      <rPr>
        <color rgb="FF434343"/>
        <u/>
      </rPr>
      <t>riptolik</t>
    </r>
  </si>
  <si>
    <t>Toplu çalışmalarda ciddi indirim alabiliriz</t>
  </si>
  <si>
    <t>X Thread, X, X Quote</t>
  </si>
  <si>
    <t>Youtube, X</t>
  </si>
  <si>
    <t>Bu adam için önce Ömer ile görüşülüp fiyat alınacak herzaman</t>
  </si>
  <si>
    <t>Youtube integration, X, Telegram</t>
  </si>
  <si>
    <t>X, Youtube</t>
  </si>
  <si>
    <t>güncel fiyat alınacak,magnor olarak sıfırdan,nihanla calısılmıs daha once nihandan bahsedilecek</t>
  </si>
  <si>
    <t>Youtube, Telegram</t>
  </si>
  <si>
    <t>Youtube integration, Telegram, Buy signal</t>
  </si>
  <si>
    <t>X, Youtube integration</t>
  </si>
  <si>
    <t>On all channels</t>
  </si>
  <si>
    <t>X, Youtube, Buy signal</t>
  </si>
  <si>
    <t>1 (7 hrs)</t>
  </si>
  <si>
    <t>Thanos</t>
  </si>
  <si>
    <t>Youtube (2nd channel)</t>
  </si>
  <si>
    <t>Youtube integration (2nd channel)</t>
  </si>
  <si>
    <t>X, Telegram, Youtube integration, Youtube (2nd channel)</t>
  </si>
  <si>
    <t>Tiktok, IG Story</t>
  </si>
  <si>
    <t>magnor olarak görüşülecek, @tufanoglu telegram kullanıcı adı, eralpten bahsedilecek</t>
  </si>
  <si>
    <t>X, Telegram, Youtube, Buy signal</t>
  </si>
  <si>
    <t>6-8</t>
  </si>
  <si>
    <t>Youtube, Tiktok</t>
  </si>
  <si>
    <t>Youtube, X, Telegram, IG Reels, IG Story, X Quote</t>
  </si>
  <si>
    <t>İsim</t>
  </si>
  <si>
    <t>Bağlantılar</t>
  </si>
  <si>
    <t>Notlar</t>
  </si>
  <si>
    <t>Scott Cook - Rengö</t>
  </si>
  <si>
    <t>@Sdc_eth</t>
  </si>
  <si>
    <t>Rengo marketing co-founder, marketing ortaklığı için mutlaka iletişime geç</t>
  </si>
  <si>
    <t>Abdel- Surgence Labs</t>
  </si>
  <si>
    <t>@Abdelrahman_NFT</t>
  </si>
  <si>
    <t>Marketing için mutlaka bunlarla da iletişime geçmemiz gerekiyor.</t>
  </si>
  <si>
    <t>Ömer- Blockman promo</t>
  </si>
  <si>
    <t>@kayuha</t>
  </si>
  <si>
    <t>Agencies</t>
  </si>
  <si>
    <t>ID</t>
  </si>
  <si>
    <t>Categories</t>
  </si>
  <si>
    <t>Invesment</t>
  </si>
  <si>
    <t>Trade</t>
  </si>
  <si>
    <t>Brand Awaraness</t>
  </si>
  <si>
    <t>PreSale</t>
  </si>
  <si>
    <t>News</t>
  </si>
  <si>
    <t>Education</t>
  </si>
  <si>
    <t>TEST</t>
  </si>
  <si>
    <t>Languages</t>
  </si>
  <si>
    <t>Vietnamese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</si>
</sst>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$]#,##0.00"/>
    <numFmt numFmtId="165" formatCode="#,##0&quot;€&quot;"/>
    <numFmt numFmtId="166" formatCode="#,##0\ [$€-1]"/>
    <numFmt numFmtId="167" formatCode="d-m"/>
    <numFmt numFmtId="168" formatCode="#,##0.00\ [$€-1]"/>
  </numFmts>
  <fonts count="29">
    <font>
      <sz val="10.0"/>
      <color rgb="FF000000"/>
      <name val="Verdana"/>
      <scheme val="minor"/>
    </font>
    <font>
      <color theme="1"/>
      <name val="Arial"/>
    </font>
    <font>
      <b/>
      <color theme="1"/>
      <name val="Arial"/>
    </font>
    <font>
      <b/>
      <sz val="12.0"/>
      <color rgb="FFFFFFFF"/>
      <name val="Arial"/>
    </font>
    <font>
      <color rgb="FF000000"/>
      <name val="Verdana"/>
      <scheme val="minor"/>
    </font>
    <font>
      <b/>
      <color rgb="FF000000"/>
      <name val="Verdana"/>
      <scheme val="minor"/>
    </font>
    <font>
      <color theme="1"/>
      <name val="Verdana"/>
      <scheme val="minor"/>
    </font>
    <font>
      <b/>
      <u/>
      <color theme="9"/>
      <name val="Roboto"/>
    </font>
    <font>
      <color rgb="FF434343"/>
      <name val="Roboto"/>
    </font>
    <font>
      <b/>
      <u/>
      <color theme="9"/>
      <name val="Roboto"/>
    </font>
    <font>
      <b/>
      <u/>
      <color theme="9"/>
      <name val="Roboto"/>
    </font>
    <font>
      <b/>
      <u/>
      <color rgb="FF144CF5"/>
      <name val="Roboto"/>
    </font>
    <font>
      <b/>
      <u/>
      <color rgb="FF144CF5"/>
      <name val="Roboto"/>
    </font>
    <font>
      <b/>
      <u/>
      <color theme="9"/>
      <name val="Roboto"/>
    </font>
    <font>
      <b/>
      <u/>
      <color theme="9"/>
      <name val="Verdana"/>
      <scheme val="minor"/>
    </font>
    <font>
      <b/>
      <u/>
      <color rgb="FF0000FF"/>
      <name val="Roboto"/>
    </font>
    <font>
      <b/>
      <u/>
      <color rgb="FFCC0000"/>
      <name val="Roboto"/>
    </font>
    <font>
      <b/>
      <u/>
      <color rgb="FF1155CC"/>
      <name val="Roboto"/>
    </font>
    <font>
      <b/>
      <u/>
      <color rgb="FF1155CC"/>
      <name val="Verdana"/>
      <scheme val="minor"/>
    </font>
    <font>
      <b/>
      <color rgb="FFCC0000"/>
      <name val="Verdana"/>
      <scheme val="minor"/>
    </font>
    <font>
      <b/>
      <u/>
      <color rgb="FFCC0000"/>
      <name val="Verdana"/>
      <scheme val="minor"/>
    </font>
    <font>
      <color theme="1"/>
      <name val="Roboto"/>
    </font>
    <font>
      <b/>
      <color rgb="FFCC0000"/>
      <name val="Roboto"/>
    </font>
    <font>
      <u/>
      <color rgb="FF1155CC"/>
      <name val="Verdana"/>
      <scheme val="minor"/>
    </font>
    <font>
      <u/>
      <color rgb="FF0000FF"/>
      <name val="Roboto"/>
    </font>
    <font>
      <u/>
      <color rgb="FF0000FF"/>
      <name val="Roboto"/>
    </font>
    <font>
      <color rgb="FF000000"/>
      <name val="Roboto"/>
    </font>
    <font>
      <u/>
      <color rgb="FF0000FF"/>
      <name val="Roboto"/>
    </font>
    <font>
      <b/>
      <color theme="1"/>
      <name val="Verdana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5E5E5"/>
        <bgColor rgb="FFE5E5E5"/>
      </patternFill>
    </fill>
    <fill>
      <patternFill patternType="solid">
        <fgColor rgb="FFF5F5F5"/>
        <bgColor rgb="FFF5F5F5"/>
      </patternFill>
    </fill>
    <fill>
      <patternFill patternType="solid">
        <fgColor rgb="FFF3F3F3"/>
        <bgColor rgb="FFF3F3F3"/>
      </patternFill>
    </fill>
    <fill>
      <patternFill patternType="solid">
        <fgColor rgb="FFF5F5F4"/>
        <bgColor rgb="FFF5F5F4"/>
      </patternFill>
    </fill>
    <fill>
      <patternFill patternType="solid">
        <fgColor rgb="FFF9FBFD"/>
        <bgColor rgb="FFF9FBFD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E1E3E1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horizontal="left"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horizontal="right" readingOrder="0" vertical="bottom"/>
    </xf>
    <xf borderId="0" fillId="3" fontId="1" numFmtId="0" xfId="0" applyAlignment="1" applyFill="1" applyFont="1">
      <alignment vertical="bottom"/>
    </xf>
    <xf borderId="0" fillId="4" fontId="4" numFmtId="49" xfId="0" applyAlignment="1" applyFill="1" applyFont="1" applyNumberFormat="1">
      <alignment horizontal="left" readingOrder="0" shrinkToFit="0" vertical="center" wrapText="0"/>
    </xf>
    <xf borderId="0" fillId="3" fontId="5" numFmtId="49" xfId="0" applyAlignment="1" applyFont="1" applyNumberFormat="1">
      <alignment horizontal="left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5" fontId="8" numFmtId="0" xfId="0" applyAlignment="1" applyFill="1" applyFont="1">
      <alignment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6" fontId="8" numFmtId="164" xfId="0" applyAlignment="1" applyFill="1" applyFont="1" applyNumberFormat="1">
      <alignment horizontal="right" readingOrder="0" shrinkToFit="0" vertical="center" wrapText="0"/>
    </xf>
    <xf borderId="0" fillId="5" fontId="8" numFmtId="0" xfId="0" applyAlignment="1" applyFont="1">
      <alignment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0" fillId="6" fontId="8" numFmtId="0" xfId="0" applyAlignment="1" applyFont="1">
      <alignment shrinkToFit="0" vertical="center" wrapText="0"/>
    </xf>
    <xf borderId="0" fillId="6" fontId="8" numFmtId="0" xfId="0" applyAlignment="1" applyFont="1">
      <alignment horizontal="left" readingOrder="0" shrinkToFit="0" vertical="center" wrapText="0"/>
    </xf>
    <xf borderId="0" fillId="5" fontId="8" numFmtId="164" xfId="0" applyAlignment="1" applyFont="1" applyNumberFormat="1">
      <alignment horizontal="right" shrinkToFit="0" vertical="center" wrapText="0"/>
    </xf>
    <xf borderId="0" fillId="6" fontId="8" numFmtId="0" xfId="0" applyAlignment="1" applyFont="1">
      <alignment readingOrder="0" shrinkToFit="0" vertical="center" wrapText="0"/>
    </xf>
    <xf borderId="0" fillId="6" fontId="8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5" fontId="8" numFmtId="0" xfId="0" applyAlignment="1" applyFont="1">
      <alignment horizontal="left" readingOrder="0" shrinkToFit="0" vertical="center" wrapText="0"/>
    </xf>
    <xf borderId="0" fillId="5" fontId="8" numFmtId="164" xfId="0" applyAlignment="1" applyFont="1" applyNumberFormat="1">
      <alignment horizontal="right" readingOrder="0" shrinkToFit="0" vertical="center" wrapText="0"/>
    </xf>
    <xf borderId="0" fillId="5" fontId="8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5" fontId="12" numFmtId="0" xfId="0" applyAlignment="1" applyFont="1">
      <alignment readingOrder="0" shrinkToFit="0" vertical="center" wrapText="0"/>
    </xf>
    <xf borderId="0" fillId="6" fontId="8" numFmtId="164" xfId="0" applyAlignment="1" applyFont="1" applyNumberFormat="1">
      <alignment horizontal="right" shrinkToFit="0" vertical="center" wrapText="0"/>
    </xf>
    <xf borderId="0" fillId="6" fontId="8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6" numFmtId="0" xfId="0" applyAlignment="1" applyFont="1">
      <alignment shrinkToFit="0" wrapText="0"/>
    </xf>
    <xf borderId="0" fillId="5" fontId="6" numFmtId="164" xfId="0" applyAlignment="1" applyFont="1" applyNumberFormat="1">
      <alignment shrinkToFit="0" vertical="center" wrapText="0"/>
    </xf>
    <xf borderId="0" fillId="5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6" fontId="8" numFmtId="0" xfId="0" applyAlignment="1" applyFont="1">
      <alignment shrinkToFit="0" vertical="center" wrapText="0"/>
    </xf>
    <xf borderId="0" fillId="6" fontId="8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6" fontId="8" numFmtId="164" xfId="0" applyAlignment="1" applyFont="1" applyNumberFormat="1">
      <alignment horizontal="right" shrinkToFit="0" vertical="center" wrapText="0"/>
    </xf>
    <xf borderId="0" fillId="6" fontId="8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0" fillId="0" fontId="21" numFmtId="164" xfId="0" applyAlignment="1" applyFont="1" applyNumberFormat="1">
      <alignment readingOrder="0" shrinkToFit="0" vertical="center" wrapText="0"/>
    </xf>
    <xf borderId="0" fillId="0" fontId="21" numFmtId="0" xfId="0" applyAlignment="1" applyFont="1">
      <alignment shrinkToFit="0" vertical="center" wrapText="0"/>
    </xf>
    <xf borderId="0" fillId="0" fontId="21" numFmtId="164" xfId="0" applyAlignment="1" applyFont="1" applyNumberFormat="1">
      <alignment shrinkToFit="0" vertical="center" wrapText="0"/>
    </xf>
    <xf borderId="0" fillId="7" fontId="8" numFmtId="0" xfId="0" applyAlignment="1" applyFill="1" applyFont="1">
      <alignment horizontal="left" shrinkToFit="0" vertical="center" wrapText="0"/>
    </xf>
    <xf borderId="0" fillId="7" fontId="8" numFmtId="0" xfId="0" applyAlignment="1" applyFont="1">
      <alignment horizontal="left" shrinkToFit="0" vertical="center" wrapText="0"/>
    </xf>
    <xf borderId="0" fillId="7" fontId="22" numFmtId="165" xfId="0" applyAlignment="1" applyFont="1" applyNumberFormat="1">
      <alignment horizontal="left" readingOrder="0" shrinkToFit="0" vertical="center" wrapText="0"/>
    </xf>
    <xf borderId="0" fillId="7" fontId="8" numFmtId="0" xfId="0" applyAlignment="1" applyFont="1">
      <alignment horizontal="left" shrinkToFit="0" vertical="center" wrapText="1"/>
    </xf>
    <xf borderId="0" fillId="7" fontId="8" numFmtId="0" xfId="0" applyAlignment="1" applyFont="1">
      <alignment horizontal="left" shrinkToFit="0" vertical="center" wrapText="1"/>
    </xf>
    <xf borderId="0" fillId="7" fontId="22" numFmtId="166" xfId="0" applyAlignment="1" applyFont="1" applyNumberFormat="1">
      <alignment horizontal="left" readingOrder="0" shrinkToFit="0" vertical="center" wrapText="0"/>
    </xf>
    <xf borderId="0" fillId="0" fontId="21" numFmtId="0" xfId="0" applyAlignment="1" applyFont="1">
      <alignment horizontal="right" readingOrder="0" shrinkToFit="0" vertical="center" wrapText="0"/>
    </xf>
    <xf borderId="0" fillId="0" fontId="21" numFmtId="164" xfId="0" applyAlignment="1" applyFont="1" applyNumberForma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167" xfId="0" applyAlignment="1" applyFont="1" applyNumberFormat="1">
      <alignment readingOrder="0" shrinkToFit="0" vertical="center" wrapText="0"/>
    </xf>
    <xf borderId="0" fillId="0" fontId="6" numFmtId="164" xfId="0" applyAlignment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167" xfId="0" applyAlignment="1" applyFont="1" applyNumberFormat="1">
      <alignment shrinkToFit="0" vertical="center" wrapText="0"/>
    </xf>
    <xf borderId="0" fillId="0" fontId="1" numFmtId="0" xfId="0" applyAlignment="1" applyFont="1">
      <alignment horizontal="left" vertical="bottom"/>
    </xf>
    <xf borderId="0" fillId="3" fontId="6" numFmtId="0" xfId="0" applyFont="1"/>
    <xf borderId="0" fillId="0" fontId="2" numFmtId="0" xfId="0" applyAlignment="1" applyFont="1">
      <alignment horizontal="left"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4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vertical="top"/>
    </xf>
    <xf borderId="0" fillId="8" fontId="1" numFmtId="0" xfId="0" applyAlignment="1" applyFill="1" applyFont="1">
      <alignment vertical="top"/>
    </xf>
    <xf borderId="0" fillId="0" fontId="25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6" numFmtId="168" xfId="0" applyAlignment="1" applyFont="1" applyNumberFormat="1">
      <alignment shrinkToFit="0" vertical="center" wrapText="0"/>
    </xf>
    <xf borderId="0" fillId="0" fontId="6" numFmtId="168" xfId="0" applyAlignment="1" applyFont="1" applyNumberFormat="1">
      <alignment shrinkToFit="0" vertical="center" wrapText="1"/>
    </xf>
    <xf borderId="0" fillId="0" fontId="6" numFmtId="168" xfId="0" applyAlignment="1" applyFont="1" applyNumberFormat="1">
      <alignment readingOrder="0" shrinkToFit="0" vertical="center" wrapText="1"/>
    </xf>
    <xf borderId="0" fillId="0" fontId="6" numFmtId="0" xfId="0" applyAlignment="1" applyFont="1">
      <alignment shrinkToFit="0" wrapText="0"/>
    </xf>
    <xf borderId="0" fillId="0" fontId="1" numFmtId="4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6" numFmtId="49" xfId="0" applyAlignment="1" applyFont="1" applyNumberFormat="1">
      <alignment horizontal="left" readingOrder="0" shrinkToFit="0" vertical="center" wrapText="0"/>
    </xf>
    <xf borderId="0" fillId="0" fontId="6" numFmtId="164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168" xfId="0" applyAlignment="1" applyFont="1" applyNumberFormat="1">
      <alignment shrinkToFit="0" vertical="center" wrapText="1"/>
    </xf>
    <xf borderId="0" fillId="0" fontId="6" numFmtId="49" xfId="0" applyAlignment="1" applyFont="1" applyNumberFormat="1">
      <alignment readingOrder="0" shrinkToFit="0" vertical="center" wrapText="0"/>
    </xf>
    <xf borderId="2" fillId="9" fontId="26" numFmtId="0" xfId="0" applyAlignment="1" applyBorder="1" applyFill="1" applyFont="1">
      <alignment readingOrder="0" shrinkToFit="0" vertical="center" wrapText="0"/>
    </xf>
    <xf borderId="0" fillId="10" fontId="6" numFmtId="0" xfId="0" applyAlignment="1" applyFill="1" applyFont="1">
      <alignment shrinkToFit="0" vertical="center" wrapText="0"/>
    </xf>
    <xf borderId="0" fillId="10" fontId="6" numFmtId="0" xfId="0" applyAlignment="1" applyFont="1">
      <alignment shrinkToFit="0" vertical="center" wrapText="0"/>
    </xf>
    <xf borderId="0" fillId="11" fontId="8" numFmtId="0" xfId="0" applyAlignment="1" applyFill="1" applyFont="1">
      <alignment horizontal="left" readingOrder="0" shrinkToFit="0" vertical="center" wrapText="1"/>
    </xf>
    <xf borderId="0" fillId="10" fontId="6" numFmtId="0" xfId="0" applyAlignment="1" applyFon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borderId="0" fillId="0" fontId="6" numFmtId="168" xfId="0" applyAlignment="1" applyFont="1" applyNumberFormat="1">
      <alignment shrinkToFit="0" vertical="center" wrapText="0"/>
    </xf>
    <xf borderId="0" fillId="8" fontId="6" numFmtId="0" xfId="0" applyAlignment="1" applyFont="1">
      <alignment readingOrder="0" shrinkToFit="0" vertical="center" wrapText="0"/>
    </xf>
    <xf borderId="0" fillId="0" fontId="27" numFmtId="0" xfId="0" applyAlignment="1" applyFont="1">
      <alignment shrinkToFit="0" vertical="center" wrapText="0"/>
    </xf>
    <xf borderId="0" fillId="0" fontId="2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6" numFmtId="49" xfId="0" applyFont="1" applyNumberFormat="1"/>
    <xf borderId="0" fillId="0" fontId="6" numFmtId="168" xfId="0" applyFont="1" applyNumberForma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1E1E1E"/>
          <bgColor rgb="FF1E1E1E"/>
        </patternFill>
      </fill>
      <border/>
    </dxf>
    <dxf>
      <font/>
      <fill>
        <patternFill patternType="solid">
          <fgColor rgb="FFF5F5F5"/>
          <bgColor rgb="FFF5F5F5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border>
        <left style="thin">
          <color rgb="FF1E1E1E"/>
        </left>
        <right style="thin">
          <color rgb="FF1E1E1E"/>
        </right>
        <top style="thin">
          <color rgb="FF1E1E1E"/>
        </top>
        <bottom style="thin">
          <color rgb="FF1E1E1E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Off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inData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KOLs Price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Agencie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ALL Data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Category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Languages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91575" cy="20097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9:J296" displayName="Tablo5" name="Tablo5" id="1">
  <autoFilter ref="$A$9:$J$296">
    <filterColumn colId="2">
      <filters>
        <filter val="X, Telegram, Buy signal"/>
        <filter val="Youtube"/>
      </filters>
    </filterColumn>
  </autoFilter>
  <tableColumns count="10">
    <tableColumn name="Language" id="1"/>
    <tableColumn name="Name" id="2"/>
    <tableColumn name="Socials" id="3"/>
    <tableColumn name="Unit Offer" id="4"/>
    <tableColumn name="Column 5" id="5"/>
    <tableColumn name="Unit Price" id="6"/>
    <tableColumn name="Package Price" id="7"/>
    <tableColumn name="Column 8" id="8"/>
    <tableColumn name="Column 9" id="9"/>
    <tableColumn name="Notes" id="10"/>
  </tableColumns>
  <tableStyleInfo name="Offer-style" showColumnStripes="0" showFirstColumn="1" showLastColumn="1" showRowStripes="1"/>
</table>
</file>

<file path=xl/tables/table2.xml><?xml version="1.0" encoding="utf-8"?>
<table xmlns="http://schemas.openxmlformats.org/spreadsheetml/2006/main" ref="A1:I544" displayName="KolsTable" name="KolsTable" id="2">
  <tableColumns count="9">
    <tableColumn name="Kols" id="1"/>
    <tableColumn name="Socials" id="2"/>
    <tableColumn name="Tier Score" id="3"/>
    <tableColumn name="Tier Score Picture" id="4"/>
    <tableColumn name="Category" id="5"/>
    <tableColumn name="Language" id="6"/>
    <tableColumn name="Agency" id="7"/>
    <tableColumn name="İletişim" id="8"/>
    <tableColumn name="9. sütun" id="9"/>
  </tableColumns>
  <tableStyleInfo name="MainData-style" showColumnStripes="0" showFirstColumn="1" showLastColumn="1" showRowStripes="1"/>
</table>
</file>

<file path=xl/tables/table3.xml><?xml version="1.0" encoding="utf-8"?>
<table xmlns="http://schemas.openxmlformats.org/spreadsheetml/2006/main" ref="A2:G576" displayName="Tablo2" name="Tablo2" id="3">
  <tableColumns count="7">
    <tableColumn name="Kol" id="1"/>
    <tableColumn name="Social Media" id="2"/>
    <tableColumn name="Count" id="3"/>
    <tableColumn name="Price" id="4"/>
    <tableColumn name="PriceNoCom" id="5"/>
    <tableColumn name="1. sütun" id="6"/>
    <tableColumn name="İletişim" id="7"/>
  </tableColumns>
  <tableStyleInfo name="KOLs Prices-style" showColumnStripes="0" showFirstColumn="1" showLastColumn="1" showRowStripes="1"/>
</table>
</file>

<file path=xl/tables/table4.xml><?xml version="1.0" encoding="utf-8"?>
<table xmlns="http://schemas.openxmlformats.org/spreadsheetml/2006/main" ref="A1:A6" displayName="Tablo1" name="Tablo1" id="4">
  <tableColumns count="1">
    <tableColumn name="Agencies" id="1"/>
  </tableColumns>
  <tableStyleInfo name="Agencies-style" showColumnStripes="0" showFirstColumn="1" showLastColumn="1" showRowStripes="1"/>
</table>
</file>

<file path=xl/tables/table5.xml><?xml version="1.0" encoding="utf-8"?>
<table xmlns="http://schemas.openxmlformats.org/spreadsheetml/2006/main" headerRowCount="0" ref="A1:N2" displayName="Tablo6" name="Tablo6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LL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A12" displayName="Tablo4" name="Tablo4" id="6">
  <tableColumns count="1">
    <tableColumn name="Categories" id="1"/>
  </tableColumns>
  <tableStyleInfo name="Category-style" showColumnStripes="0" showFirstColumn="1" showLastColumn="1" showRowStripes="1"/>
</table>
</file>

<file path=xl/tables/table7.xml><?xml version="1.0" encoding="utf-8"?>
<table xmlns="http://schemas.openxmlformats.org/spreadsheetml/2006/main" ref="A1:A23" displayName="Tablo3" name="Tablo3" id="7">
  <tableColumns count="1">
    <tableColumn name="Languages" id="1"/>
  </tableColumns>
  <tableStyleInfo name="Languag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para_hub" TargetMode="External"/><Relationship Id="rId42" Type="http://schemas.openxmlformats.org/officeDocument/2006/relationships/hyperlink" Target="https://www.youtube.com/@UmutAktuKripto" TargetMode="External"/><Relationship Id="rId41" Type="http://schemas.openxmlformats.org/officeDocument/2006/relationships/hyperlink" Target="https://www.youtube.com/@tarikbilenn" TargetMode="External"/><Relationship Id="rId44" Type="http://schemas.openxmlformats.org/officeDocument/2006/relationships/hyperlink" Target="https://x.com/vemutlu" TargetMode="External"/><Relationship Id="rId43" Type="http://schemas.openxmlformats.org/officeDocument/2006/relationships/hyperlink" Target="https://x.com/Vforrkripto" TargetMode="External"/><Relationship Id="rId46" Type="http://schemas.openxmlformats.org/officeDocument/2006/relationships/hyperlink" Target="https://x.com/0xCoolPanda" TargetMode="External"/><Relationship Id="rId45" Type="http://schemas.openxmlformats.org/officeDocument/2006/relationships/hyperlink" Target="https://www.youtube.com/@VeliMutluOfficial" TargetMode="External"/><Relationship Id="rId1" Type="http://schemas.openxmlformats.org/officeDocument/2006/relationships/hyperlink" Target="https://x.com/altcoinrookie" TargetMode="External"/><Relationship Id="rId2" Type="http://schemas.openxmlformats.org/officeDocument/2006/relationships/hyperlink" Target="https://x.com/barisbuyuktas" TargetMode="External"/><Relationship Id="rId3" Type="http://schemas.openxmlformats.org/officeDocument/2006/relationships/hyperlink" Target="https://x.com/KardesBaris" TargetMode="External"/><Relationship Id="rId4" Type="http://schemas.openxmlformats.org/officeDocument/2006/relationships/hyperlink" Target="https://x.com/nuhbatuhann" TargetMode="External"/><Relationship Id="rId9" Type="http://schemas.openxmlformats.org/officeDocument/2006/relationships/hyperlink" Target="https://twitter.com/cihan0xeth" TargetMode="External"/><Relationship Id="rId48" Type="http://schemas.openxmlformats.org/officeDocument/2006/relationships/hyperlink" Target="https://x.com/Selcoin" TargetMode="External"/><Relationship Id="rId47" Type="http://schemas.openxmlformats.org/officeDocument/2006/relationships/hyperlink" Target="https://x.com/CryptoTroia" TargetMode="External"/><Relationship Id="rId49" Type="http://schemas.openxmlformats.org/officeDocument/2006/relationships/hyperlink" Target="https://x.com/cihan0xeth" TargetMode="External"/><Relationship Id="rId5" Type="http://schemas.openxmlformats.org/officeDocument/2006/relationships/hyperlink" Target="https://www.youtube.com/@cberktavsan" TargetMode="External"/><Relationship Id="rId6" Type="http://schemas.openxmlformats.org/officeDocument/2006/relationships/hyperlink" Target="https://x.com/Bitcoinmeraklsi" TargetMode="External"/><Relationship Id="rId7" Type="http://schemas.openxmlformats.org/officeDocument/2006/relationships/hyperlink" Target="https://x.com/borsaressami" TargetMode="External"/><Relationship Id="rId8" Type="http://schemas.openxmlformats.org/officeDocument/2006/relationships/hyperlink" Target="https://x.com/CemalTheMM" TargetMode="External"/><Relationship Id="rId31" Type="http://schemas.openxmlformats.org/officeDocument/2006/relationships/hyperlink" Target="https://www.youtube.com/user/iakgun28101993" TargetMode="External"/><Relationship Id="rId30" Type="http://schemas.openxmlformats.org/officeDocument/2006/relationships/hyperlink" Target="https://x.com/kriptogelisim" TargetMode="External"/><Relationship Id="rId33" Type="http://schemas.openxmlformats.org/officeDocument/2006/relationships/hyperlink" Target="https://x.com/kriptokraliyeni" TargetMode="External"/><Relationship Id="rId32" Type="http://schemas.openxmlformats.org/officeDocument/2006/relationships/hyperlink" Target="https://www.youtube.com/@KriptoKafalar" TargetMode="External"/><Relationship Id="rId35" Type="http://schemas.openxmlformats.org/officeDocument/2006/relationships/hyperlink" Target="https://www.youtube.com/@KriptoSozluk" TargetMode="External"/><Relationship Id="rId34" Type="http://schemas.openxmlformats.org/officeDocument/2006/relationships/hyperlink" Target="https://www.youtube.com/@kriptoofis" TargetMode="External"/><Relationship Id="rId37" Type="http://schemas.openxmlformats.org/officeDocument/2006/relationships/hyperlink" Target="https://x.com/KriptoliaTR" TargetMode="External"/><Relationship Id="rId36" Type="http://schemas.openxmlformats.org/officeDocument/2006/relationships/hyperlink" Target="https://x.com/kriptokrat5" TargetMode="External"/><Relationship Id="rId39" Type="http://schemas.openxmlformats.org/officeDocument/2006/relationships/hyperlink" Target="https://twitter.com/btcoinmag" TargetMode="External"/><Relationship Id="rId38" Type="http://schemas.openxmlformats.org/officeDocument/2006/relationships/hyperlink" Target="https://x.com/theKriptolik" TargetMode="External"/><Relationship Id="rId20" Type="http://schemas.openxmlformats.org/officeDocument/2006/relationships/hyperlink" Target="https://x.com/locksmithcrypto" TargetMode="External"/><Relationship Id="rId22" Type="http://schemas.openxmlformats.org/officeDocument/2006/relationships/hyperlink" Target="https://www.youtube.com/@ExpertPara" TargetMode="External"/><Relationship Id="rId21" Type="http://schemas.openxmlformats.org/officeDocument/2006/relationships/hyperlink" Target="https://www.youtube.com/@ExpertKripto/videos" TargetMode="External"/><Relationship Id="rId24" Type="http://schemas.openxmlformats.org/officeDocument/2006/relationships/hyperlink" Target="https://x.com/GokhanGark" TargetMode="External"/><Relationship Id="rId23" Type="http://schemas.openxmlformats.org/officeDocument/2006/relationships/hyperlink" Target="https://twitter.com/CryptoGenzo" TargetMode="External"/><Relationship Id="rId26" Type="http://schemas.openxmlformats.org/officeDocument/2006/relationships/hyperlink" Target="https://twitter.com/jesscoin" TargetMode="External"/><Relationship Id="rId25" Type="http://schemas.openxmlformats.org/officeDocument/2006/relationships/hyperlink" Target="https://x.com/hirozaki2020" TargetMode="External"/><Relationship Id="rId28" Type="http://schemas.openxmlformats.org/officeDocument/2006/relationships/hyperlink" Target="https://x.com/kerimcalender" TargetMode="External"/><Relationship Id="rId27" Type="http://schemas.openxmlformats.org/officeDocument/2006/relationships/hyperlink" Target="https://www.youtube.com/@KadirSquirrel" TargetMode="External"/><Relationship Id="rId29" Type="http://schemas.openxmlformats.org/officeDocument/2006/relationships/hyperlink" Target="https://www.youtube.com/@KriptoAdam/videos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x.com/0xCoolPanda" TargetMode="External"/><Relationship Id="rId10" Type="http://schemas.openxmlformats.org/officeDocument/2006/relationships/hyperlink" Target="https://x.com/coinuzmann" TargetMode="External"/><Relationship Id="rId13" Type="http://schemas.openxmlformats.org/officeDocument/2006/relationships/hyperlink" Target="https://x.com/CryptoCNR" TargetMode="External"/><Relationship Id="rId12" Type="http://schemas.openxmlformats.org/officeDocument/2006/relationships/hyperlink" Target="https://x.com/KriptoChef" TargetMode="External"/><Relationship Id="rId15" Type="http://schemas.openxmlformats.org/officeDocument/2006/relationships/hyperlink" Target="https://x.com/CryptoNeoo" TargetMode="External"/><Relationship Id="rId14" Type="http://schemas.openxmlformats.org/officeDocument/2006/relationships/hyperlink" Target="https://www.youtube.com/@CryptoHocam/videos" TargetMode="External"/><Relationship Id="rId17" Type="http://schemas.openxmlformats.org/officeDocument/2006/relationships/hyperlink" Target="https://x.com/cryptotrfacts" TargetMode="External"/><Relationship Id="rId16" Type="http://schemas.openxmlformats.org/officeDocument/2006/relationships/hyperlink" Target="https://x.com/CryptObjektiff" TargetMode="External"/><Relationship Id="rId19" Type="http://schemas.openxmlformats.org/officeDocument/2006/relationships/hyperlink" Target="https://x.com/TurkElit" TargetMode="External"/><Relationship Id="rId18" Type="http://schemas.openxmlformats.org/officeDocument/2006/relationships/hyperlink" Target="https://www.youtube.com/c/caylakkriptocu?app=desktop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t.me/+V-XZ3Sw_szRw3Po6" TargetMode="External"/><Relationship Id="rId194" Type="http://schemas.openxmlformats.org/officeDocument/2006/relationships/hyperlink" Target="https://www.youtube.com/@AcademiaCripto" TargetMode="External"/><Relationship Id="rId193" Type="http://schemas.openxmlformats.org/officeDocument/2006/relationships/hyperlink" Target="https://t.me/KRIPTOFERMA" TargetMode="External"/><Relationship Id="rId192" Type="http://schemas.openxmlformats.org/officeDocument/2006/relationships/hyperlink" Target="http://t.me/dumaydeystvuy" TargetMode="External"/><Relationship Id="rId191" Type="http://schemas.openxmlformats.org/officeDocument/2006/relationships/hyperlink" Target="https://t.me/zarabotaemmv" TargetMode="External"/><Relationship Id="rId187" Type="http://schemas.openxmlformats.org/officeDocument/2006/relationships/hyperlink" Target="https://m.youtube.com/@TRADERSLIFEBIT" TargetMode="External"/><Relationship Id="rId186" Type="http://schemas.openxmlformats.org/officeDocument/2006/relationships/hyperlink" Target="https://youtube.com/@ccrypts?si=B_95VI-UyRX3gtQE" TargetMode="External"/><Relationship Id="rId185" Type="http://schemas.openxmlformats.org/officeDocument/2006/relationships/hyperlink" Target="http://t.me/proboyscalp" TargetMode="External"/><Relationship Id="rId184" Type="http://schemas.openxmlformats.org/officeDocument/2006/relationships/hyperlink" Target="https://m.youtube.com/@ProBoyScalp" TargetMode="External"/><Relationship Id="rId189" Type="http://schemas.openxmlformats.org/officeDocument/2006/relationships/hyperlink" Target="https://youtube.com/@zhukovtrade?si=JCK1-7ZqHQH_LFzw" TargetMode="External"/><Relationship Id="rId188" Type="http://schemas.openxmlformats.org/officeDocument/2006/relationships/hyperlink" Target="https://t.me/victorbavur" TargetMode="External"/><Relationship Id="rId183" Type="http://schemas.openxmlformats.org/officeDocument/2006/relationships/hyperlink" Target="https://www.youtube.com/@problockchain" TargetMode="External"/><Relationship Id="rId182" Type="http://schemas.openxmlformats.org/officeDocument/2006/relationships/hyperlink" Target="https://www.youtube.com/@olegapriori" TargetMode="External"/><Relationship Id="rId181" Type="http://schemas.openxmlformats.org/officeDocument/2006/relationships/hyperlink" Target="https://m.youtube.com/@Ne_Nablydatel/videos" TargetMode="External"/><Relationship Id="rId180" Type="http://schemas.openxmlformats.org/officeDocument/2006/relationships/hyperlink" Target="https://t.me/+gJT_3gz6rTBiMWJi" TargetMode="External"/><Relationship Id="rId176" Type="http://schemas.openxmlformats.org/officeDocument/2006/relationships/hyperlink" Target="https://youtube.com/@alexhodl?si=yqQQ7JfXGJaOPOM8" TargetMode="External"/><Relationship Id="rId297" Type="http://schemas.openxmlformats.org/officeDocument/2006/relationships/hyperlink" Target="https://www.youtube.com/c/bitcoinexpertindiaa" TargetMode="External"/><Relationship Id="rId175" Type="http://schemas.openxmlformats.org/officeDocument/2006/relationships/hyperlink" Target="https://m.youtube.com/@Golodniuk_Kyryl/videos" TargetMode="External"/><Relationship Id="rId296" Type="http://schemas.openxmlformats.org/officeDocument/2006/relationships/hyperlink" Target="https://x.com/BTannadi" TargetMode="External"/><Relationship Id="rId174" Type="http://schemas.openxmlformats.org/officeDocument/2006/relationships/hyperlink" Target="https://youtube.com/@cryptofateev?si=1CFVD-SHOPYdQNMs" TargetMode="External"/><Relationship Id="rId295" Type="http://schemas.openxmlformats.org/officeDocument/2006/relationships/hyperlink" Target="https://www.youtube.com/@arzanocrypto" TargetMode="External"/><Relationship Id="rId173" Type="http://schemas.openxmlformats.org/officeDocument/2006/relationships/hyperlink" Target="https://t.me/eazyscalping" TargetMode="External"/><Relationship Id="rId294" Type="http://schemas.openxmlformats.org/officeDocument/2006/relationships/hyperlink" Target="https://x.com/kyojindee" TargetMode="External"/><Relationship Id="rId179" Type="http://schemas.openxmlformats.org/officeDocument/2006/relationships/hyperlink" Target="https://t.me/+HSke8SWo8ZZiZjdi" TargetMode="External"/><Relationship Id="rId178" Type="http://schemas.openxmlformats.org/officeDocument/2006/relationships/hyperlink" Target="https://youtu.be/T5nPYgC7uGo" TargetMode="External"/><Relationship Id="rId299" Type="http://schemas.openxmlformats.org/officeDocument/2006/relationships/hyperlink" Target="https://www.youtube.com/@Crypto_Jargon" TargetMode="External"/><Relationship Id="rId177" Type="http://schemas.openxmlformats.org/officeDocument/2006/relationships/hyperlink" Target="https://www.youtube.com/channel/UCUP66dHwZxisqlIYUXpDZQg" TargetMode="External"/><Relationship Id="rId298" Type="http://schemas.openxmlformats.org/officeDocument/2006/relationships/hyperlink" Target="https://x.com/AlwaysBeenChoze" TargetMode="External"/><Relationship Id="rId198" Type="http://schemas.openxmlformats.org/officeDocument/2006/relationships/hyperlink" Target="https://www.youtube.com/@SalleSRJnaWeb3/videos" TargetMode="External"/><Relationship Id="rId197" Type="http://schemas.openxmlformats.org/officeDocument/2006/relationships/hyperlink" Target="https://www.youtube.com/@OuluH/videos" TargetMode="External"/><Relationship Id="rId196" Type="http://schemas.openxmlformats.org/officeDocument/2006/relationships/hyperlink" Target="https://www.tiktok.com/@cryptojimmy01" TargetMode="External"/><Relationship Id="rId195" Type="http://schemas.openxmlformats.org/officeDocument/2006/relationships/hyperlink" Target="https://www.tiktok.com/@gabrielquadrs" TargetMode="External"/><Relationship Id="rId199" Type="http://schemas.openxmlformats.org/officeDocument/2006/relationships/hyperlink" Target="https://x.com/321Crypto" TargetMode="External"/><Relationship Id="rId150" Type="http://schemas.openxmlformats.org/officeDocument/2006/relationships/hyperlink" Target="https://www.youtube.com/@erikaespinal/videos" TargetMode="External"/><Relationship Id="rId271" Type="http://schemas.openxmlformats.org/officeDocument/2006/relationships/hyperlink" Target="https://x.com/bb_jpdao" TargetMode="External"/><Relationship Id="rId392" Type="http://schemas.openxmlformats.org/officeDocument/2006/relationships/hyperlink" Target="http://x.com/farmercist_eth" TargetMode="External"/><Relationship Id="rId270" Type="http://schemas.openxmlformats.org/officeDocument/2006/relationships/hyperlink" Target="https://x.com/BankeraDao" TargetMode="External"/><Relationship Id="rId391" Type="http://schemas.openxmlformats.org/officeDocument/2006/relationships/hyperlink" Target="https://twitter.com/Eunicedwong" TargetMode="External"/><Relationship Id="rId390" Type="http://schemas.openxmlformats.org/officeDocument/2006/relationships/hyperlink" Target="https://www.instagram.com/ethereum_updates/" TargetMode="External"/><Relationship Id="rId1" Type="http://schemas.openxmlformats.org/officeDocument/2006/relationships/hyperlink" Target="https://x.com/0xilhm" TargetMode="External"/><Relationship Id="rId2" Type="http://schemas.openxmlformats.org/officeDocument/2006/relationships/hyperlink" Target="https://x.com/0xmrred" TargetMode="External"/><Relationship Id="rId3" Type="http://schemas.openxmlformats.org/officeDocument/2006/relationships/hyperlink" Target="https://x.com/0xRemiss" TargetMode="External"/><Relationship Id="rId149" Type="http://schemas.openxmlformats.org/officeDocument/2006/relationships/hyperlink" Target="https://www.youtube.com/@eduheras" TargetMode="External"/><Relationship Id="rId4" Type="http://schemas.openxmlformats.org/officeDocument/2006/relationships/hyperlink" Target="https://t.me/AirdropTurkiyeDuyuru" TargetMode="External"/><Relationship Id="rId148" Type="http://schemas.openxmlformats.org/officeDocument/2006/relationships/hyperlink" Target="https://www.youtube.com/@CriptoMindYT" TargetMode="External"/><Relationship Id="rId269" Type="http://schemas.openxmlformats.org/officeDocument/2006/relationships/hyperlink" Target="https://x.com/admen_vc_2" TargetMode="External"/><Relationship Id="rId9" Type="http://schemas.openxmlformats.org/officeDocument/2006/relationships/hyperlink" Target="https://www.youtube.com/atamertuysaler" TargetMode="External"/><Relationship Id="rId143" Type="http://schemas.openxmlformats.org/officeDocument/2006/relationships/hyperlink" Target="https://twitter.com/0xRoronoaZoro" TargetMode="External"/><Relationship Id="rId264" Type="http://schemas.openxmlformats.org/officeDocument/2006/relationships/hyperlink" Target="https://t.me/WeCryptoTogether" TargetMode="External"/><Relationship Id="rId385" Type="http://schemas.openxmlformats.org/officeDocument/2006/relationships/hyperlink" Target="https://twitter.com/CryptoThannos" TargetMode="External"/><Relationship Id="rId142" Type="http://schemas.openxmlformats.org/officeDocument/2006/relationships/hyperlink" Target="https://x.com/YsnAnaliz" TargetMode="External"/><Relationship Id="rId263" Type="http://schemas.openxmlformats.org/officeDocument/2006/relationships/hyperlink" Target="https://t.me/officialskygoma" TargetMode="External"/><Relationship Id="rId384" Type="http://schemas.openxmlformats.org/officeDocument/2006/relationships/hyperlink" Target="https://www.tiktok.com/@cryptopizzagirl" TargetMode="External"/><Relationship Id="rId141" Type="http://schemas.openxmlformats.org/officeDocument/2006/relationships/hyperlink" Target="https://x.com/Wind_Crypto" TargetMode="External"/><Relationship Id="rId262" Type="http://schemas.openxmlformats.org/officeDocument/2006/relationships/hyperlink" Target="https://t.me/sipangE" TargetMode="External"/><Relationship Id="rId383" Type="http://schemas.openxmlformats.org/officeDocument/2006/relationships/hyperlink" Target="https://x.com/CryptoMichNL" TargetMode="External"/><Relationship Id="rId140" Type="http://schemas.openxmlformats.org/officeDocument/2006/relationships/hyperlink" Target="https://x.com/via__trader?s=21" TargetMode="External"/><Relationship Id="rId261" Type="http://schemas.openxmlformats.org/officeDocument/2006/relationships/hyperlink" Target="https://t.me/ResearchSena" TargetMode="External"/><Relationship Id="rId382" Type="http://schemas.openxmlformats.org/officeDocument/2006/relationships/hyperlink" Target="https://x.com/masonversluis" TargetMode="External"/><Relationship Id="rId5" Type="http://schemas.openxmlformats.org/officeDocument/2006/relationships/hyperlink" Target="https://x.com/Airdropakd/" TargetMode="External"/><Relationship Id="rId147" Type="http://schemas.openxmlformats.org/officeDocument/2006/relationships/hyperlink" Target="https://www.youtube.com/@CriptoMindYT" TargetMode="External"/><Relationship Id="rId268" Type="http://schemas.openxmlformats.org/officeDocument/2006/relationships/hyperlink" Target="https://t.me/vc_21m" TargetMode="External"/><Relationship Id="rId389" Type="http://schemas.openxmlformats.org/officeDocument/2006/relationships/hyperlink" Target="https://x.com/ericcryptoman" TargetMode="External"/><Relationship Id="rId6" Type="http://schemas.openxmlformats.org/officeDocument/2006/relationships/hyperlink" Target="https://x.com/alitekintr?s=21" TargetMode="External"/><Relationship Id="rId146" Type="http://schemas.openxmlformats.org/officeDocument/2006/relationships/hyperlink" Target="https://www.youtube.com/@alvarburn" TargetMode="External"/><Relationship Id="rId267" Type="http://schemas.openxmlformats.org/officeDocument/2006/relationships/hyperlink" Target="https://t.me/chavoonnam" TargetMode="External"/><Relationship Id="rId388" Type="http://schemas.openxmlformats.org/officeDocument/2006/relationships/hyperlink" Target="https://www.youtube.com/c/DustyBC/videos" TargetMode="External"/><Relationship Id="rId7" Type="http://schemas.openxmlformats.org/officeDocument/2006/relationships/hyperlink" Target="https://x.com/c_alphahost" TargetMode="External"/><Relationship Id="rId145" Type="http://schemas.openxmlformats.org/officeDocument/2006/relationships/hyperlink" Target="https://x.com/pastanagacrypto" TargetMode="External"/><Relationship Id="rId266" Type="http://schemas.openxmlformats.org/officeDocument/2006/relationships/hyperlink" Target="https://t.me/tlsrltnf" TargetMode="External"/><Relationship Id="rId387" Type="http://schemas.openxmlformats.org/officeDocument/2006/relationships/hyperlink" Target="https://x.com/dippy_eth" TargetMode="External"/><Relationship Id="rId8" Type="http://schemas.openxmlformats.org/officeDocument/2006/relationships/hyperlink" Target="https://x.com/altcoinrookie" TargetMode="External"/><Relationship Id="rId144" Type="http://schemas.openxmlformats.org/officeDocument/2006/relationships/hyperlink" Target="https://x.com/lexmorenoweb3" TargetMode="External"/><Relationship Id="rId265" Type="http://schemas.openxmlformats.org/officeDocument/2006/relationships/hyperlink" Target="https://t.me/yobeullyANN" TargetMode="External"/><Relationship Id="rId386" Type="http://schemas.openxmlformats.org/officeDocument/2006/relationships/hyperlink" Target="http://t.me/thanos_mind" TargetMode="External"/><Relationship Id="rId260" Type="http://schemas.openxmlformats.org/officeDocument/2006/relationships/hyperlink" Target="https://t.me/Rowna999" TargetMode="External"/><Relationship Id="rId381" Type="http://schemas.openxmlformats.org/officeDocument/2006/relationships/hyperlink" Target="https://x.com/CryptoGodJohn" TargetMode="External"/><Relationship Id="rId380" Type="http://schemas.openxmlformats.org/officeDocument/2006/relationships/hyperlink" Target="https://www.instagram.com/cryptoworld2020/" TargetMode="External"/><Relationship Id="rId139" Type="http://schemas.openxmlformats.org/officeDocument/2006/relationships/hyperlink" Target="https://x.com/vemutlu" TargetMode="External"/><Relationship Id="rId138" Type="http://schemas.openxmlformats.org/officeDocument/2006/relationships/hyperlink" Target="https://x.com/velanorETH" TargetMode="External"/><Relationship Id="rId259" Type="http://schemas.openxmlformats.org/officeDocument/2006/relationships/hyperlink" Target="https://t.me/organic_IDO_KR" TargetMode="External"/><Relationship Id="rId137" Type="http://schemas.openxmlformats.org/officeDocument/2006/relationships/hyperlink" Target="https://twitter.com/cryptovalle0" TargetMode="External"/><Relationship Id="rId258" Type="http://schemas.openxmlformats.org/officeDocument/2006/relationships/hyperlink" Target="https://t.me/OngsalYee" TargetMode="External"/><Relationship Id="rId379" Type="http://schemas.openxmlformats.org/officeDocument/2006/relationships/hyperlink" Target="https://www.tiktok.com/@cryptocita" TargetMode="External"/><Relationship Id="rId132" Type="http://schemas.openxmlformats.org/officeDocument/2006/relationships/hyperlink" Target="https://x.com/profesorturkmen" TargetMode="External"/><Relationship Id="rId253" Type="http://schemas.openxmlformats.org/officeDocument/2006/relationships/hyperlink" Target="https://t.me/kookookoob" TargetMode="External"/><Relationship Id="rId374" Type="http://schemas.openxmlformats.org/officeDocument/2006/relationships/hyperlink" Target="https://www.instagram.com/official_cryptopablo/" TargetMode="External"/><Relationship Id="rId495" Type="http://schemas.openxmlformats.org/officeDocument/2006/relationships/hyperlink" Target="https://twitter.com/0xSleepinRain" TargetMode="External"/><Relationship Id="rId131" Type="http://schemas.openxmlformats.org/officeDocument/2006/relationships/hyperlink" Target="https://x.com/tugsangokgoz" TargetMode="External"/><Relationship Id="rId252" Type="http://schemas.openxmlformats.org/officeDocument/2006/relationships/hyperlink" Target="https://t.me/kkeongsmemo" TargetMode="External"/><Relationship Id="rId373" Type="http://schemas.openxmlformats.org/officeDocument/2006/relationships/hyperlink" Target="https://www.instagram.com/masonversluis/" TargetMode="External"/><Relationship Id="rId494" Type="http://schemas.openxmlformats.org/officeDocument/2006/relationships/hyperlink" Target="https://twitter.com/iamyourchaos" TargetMode="External"/><Relationship Id="rId130" Type="http://schemas.openxmlformats.org/officeDocument/2006/relationships/hyperlink" Target="https://x.com/Tufanoglu_" TargetMode="External"/><Relationship Id="rId251" Type="http://schemas.openxmlformats.org/officeDocument/2006/relationships/hyperlink" Target="https://t.me/lnsanecoin" TargetMode="External"/><Relationship Id="rId372" Type="http://schemas.openxmlformats.org/officeDocument/2006/relationships/hyperlink" Target="https://www.instagram.com/cryptoding/" TargetMode="External"/><Relationship Id="rId493" Type="http://schemas.openxmlformats.org/officeDocument/2006/relationships/hyperlink" Target="https://twitter.com/iamyourchaos" TargetMode="External"/><Relationship Id="rId250" Type="http://schemas.openxmlformats.org/officeDocument/2006/relationships/hyperlink" Target="https://t.me/honeymouse1003" TargetMode="External"/><Relationship Id="rId371" Type="http://schemas.openxmlformats.org/officeDocument/2006/relationships/hyperlink" Target="https://t.me/CraftyGems" TargetMode="External"/><Relationship Id="rId492" Type="http://schemas.openxmlformats.org/officeDocument/2006/relationships/hyperlink" Target="https://twitter.com/zhuanfgghjnb" TargetMode="External"/><Relationship Id="rId136" Type="http://schemas.openxmlformats.org/officeDocument/2006/relationships/hyperlink" Target="https://x.com/Vforrkripto" TargetMode="External"/><Relationship Id="rId257" Type="http://schemas.openxmlformats.org/officeDocument/2006/relationships/hyperlink" Target="https://t.me/officialunivercityofcrypto" TargetMode="External"/><Relationship Id="rId378" Type="http://schemas.openxmlformats.org/officeDocument/2006/relationships/hyperlink" Target="https://www.instagram.com/cryptocita/" TargetMode="External"/><Relationship Id="rId499" Type="http://schemas.openxmlformats.org/officeDocument/2006/relationships/hyperlink" Target="https://www.youtube.com/@lzacademy.pro1" TargetMode="External"/><Relationship Id="rId135" Type="http://schemas.openxmlformats.org/officeDocument/2006/relationships/hyperlink" Target="https://x.com/ustadsplinter34" TargetMode="External"/><Relationship Id="rId256" Type="http://schemas.openxmlformats.org/officeDocument/2006/relationships/hyperlink" Target="https://t.me/mujammin123" TargetMode="External"/><Relationship Id="rId377" Type="http://schemas.openxmlformats.org/officeDocument/2006/relationships/hyperlink" Target="https://x.com/CryptoCapo_" TargetMode="External"/><Relationship Id="rId498" Type="http://schemas.openxmlformats.org/officeDocument/2006/relationships/hyperlink" Target="https://www.youtube.com/@investimentosemko/videos" TargetMode="External"/><Relationship Id="rId134" Type="http://schemas.openxmlformats.org/officeDocument/2006/relationships/hyperlink" Target="https://x.com/umutak47shawty" TargetMode="External"/><Relationship Id="rId255" Type="http://schemas.openxmlformats.org/officeDocument/2006/relationships/hyperlink" Target="https://t.me/MBMweb3" TargetMode="External"/><Relationship Id="rId376" Type="http://schemas.openxmlformats.org/officeDocument/2006/relationships/hyperlink" Target="https://twitter.com/crypto_rand" TargetMode="External"/><Relationship Id="rId497" Type="http://schemas.openxmlformats.org/officeDocument/2006/relationships/hyperlink" Target="https://www.youtube.com/c/CRIPTOMANIACOS/videos" TargetMode="External"/><Relationship Id="rId133" Type="http://schemas.openxmlformats.org/officeDocument/2006/relationships/hyperlink" Target="https://www.youtube.com/@UmutAktuKripto" TargetMode="External"/><Relationship Id="rId254" Type="http://schemas.openxmlformats.org/officeDocument/2006/relationships/hyperlink" Target="https://t.me/liambitcoin" TargetMode="External"/><Relationship Id="rId375" Type="http://schemas.openxmlformats.org/officeDocument/2006/relationships/hyperlink" Target="https://www.instagram.com/crypto.pages/" TargetMode="External"/><Relationship Id="rId496" Type="http://schemas.openxmlformats.org/officeDocument/2006/relationships/hyperlink" Target="https://twitter.com/xueqiu88" TargetMode="External"/><Relationship Id="rId172" Type="http://schemas.openxmlformats.org/officeDocument/2006/relationships/hyperlink" Target="https://t.me/+L0hbUKJwUREyYTNi" TargetMode="External"/><Relationship Id="rId293" Type="http://schemas.openxmlformats.org/officeDocument/2006/relationships/hyperlink" Target="https://x.com/andreasrtobing_" TargetMode="External"/><Relationship Id="rId171" Type="http://schemas.openxmlformats.org/officeDocument/2006/relationships/hyperlink" Target="https://t.me/Cryptos_Education" TargetMode="External"/><Relationship Id="rId292" Type="http://schemas.openxmlformats.org/officeDocument/2006/relationships/hyperlink" Target="https://www.youtube.com/c/AndreRizky/featured" TargetMode="External"/><Relationship Id="rId170" Type="http://schemas.openxmlformats.org/officeDocument/2006/relationships/hyperlink" Target="https://t.me/+aRtmSjlBGlhiNzgy" TargetMode="External"/><Relationship Id="rId291" Type="http://schemas.openxmlformats.org/officeDocument/2006/relationships/hyperlink" Target="https://x.com/AnalisaCrypto" TargetMode="External"/><Relationship Id="rId290" Type="http://schemas.openxmlformats.org/officeDocument/2006/relationships/hyperlink" Target="https://www.youtube.com/@TizianoTridico/videos" TargetMode="External"/><Relationship Id="rId165" Type="http://schemas.openxmlformats.org/officeDocument/2006/relationships/hyperlink" Target="https://www.youtube.com/channel/UCN80Z1Ijz-5Pz22An2W0Yaw" TargetMode="External"/><Relationship Id="rId286" Type="http://schemas.openxmlformats.org/officeDocument/2006/relationships/hyperlink" Target="https://www.youtube.com/@MichaelPino/videos" TargetMode="External"/><Relationship Id="rId164" Type="http://schemas.openxmlformats.org/officeDocument/2006/relationships/hyperlink" Target="https://www.youtube.com/@anufrievnikita" TargetMode="External"/><Relationship Id="rId285" Type="http://schemas.openxmlformats.org/officeDocument/2006/relationships/hyperlink" Target="https://www.youtube.com/@MauroCaimi" TargetMode="External"/><Relationship Id="rId163" Type="http://schemas.openxmlformats.org/officeDocument/2006/relationships/hyperlink" Target="https://t.me/Alex_Invest01" TargetMode="External"/><Relationship Id="rId284" Type="http://schemas.openxmlformats.org/officeDocument/2006/relationships/hyperlink" Target="https://www.tiktok.com/@marcnieto.official" TargetMode="External"/><Relationship Id="rId162" Type="http://schemas.openxmlformats.org/officeDocument/2006/relationships/hyperlink" Target="https://www.youtube.com/@ShooterinoYT" TargetMode="External"/><Relationship Id="rId283" Type="http://schemas.openxmlformats.org/officeDocument/2006/relationships/hyperlink" Target="https://www.youtube.com/c/LeonardoVecchio/videos" TargetMode="External"/><Relationship Id="rId169" Type="http://schemas.openxmlformats.org/officeDocument/2006/relationships/hyperlink" Target="http://t.me/CoinMetrika" TargetMode="External"/><Relationship Id="rId168" Type="http://schemas.openxmlformats.org/officeDocument/2006/relationships/hyperlink" Target="https://youtube.com/@cloudgeo?si=lG3D9WCT5IKM3NC5" TargetMode="External"/><Relationship Id="rId289" Type="http://schemas.openxmlformats.org/officeDocument/2006/relationships/hyperlink" Target="https://www.youtube.com/@thecryptogateway/videos" TargetMode="External"/><Relationship Id="rId167" Type="http://schemas.openxmlformats.org/officeDocument/2006/relationships/hyperlink" Target="https://m.youtube.com/@CryptoCherry" TargetMode="External"/><Relationship Id="rId288" Type="http://schemas.openxmlformats.org/officeDocument/2006/relationships/hyperlink" Target="https://www.youtube.com/@RiccardoZanetti/videos" TargetMode="External"/><Relationship Id="rId166" Type="http://schemas.openxmlformats.org/officeDocument/2006/relationships/hyperlink" Target="https://t.me/+e9zd8Tt6Tuk2MzI6" TargetMode="External"/><Relationship Id="rId287" Type="http://schemas.openxmlformats.org/officeDocument/2006/relationships/hyperlink" Target="https://www.youtube.com/channel/UChkzwqfPPTPnuSef26idqcg" TargetMode="External"/><Relationship Id="rId161" Type="http://schemas.openxmlformats.org/officeDocument/2006/relationships/hyperlink" Target="https://x.com/secretodefi" TargetMode="External"/><Relationship Id="rId282" Type="http://schemas.openxmlformats.org/officeDocument/2006/relationships/hyperlink" Target="https://www.youtube.com/channel/UCfURz82StG4JIjf581b195Q/featured" TargetMode="External"/><Relationship Id="rId160" Type="http://schemas.openxmlformats.org/officeDocument/2006/relationships/hyperlink" Target="https://www.youtube.com/@salvilla8622" TargetMode="External"/><Relationship Id="rId281" Type="http://schemas.openxmlformats.org/officeDocument/2006/relationships/hyperlink" Target="https://www.youtube.com/@FrancescoCarrino/videos" TargetMode="External"/><Relationship Id="rId280" Type="http://schemas.openxmlformats.org/officeDocument/2006/relationships/hyperlink" Target="https://www.youtube.com/@FedericoRonzoni/videos" TargetMode="External"/><Relationship Id="rId159" Type="http://schemas.openxmlformats.org/officeDocument/2006/relationships/hyperlink" Target="https://www.youtube.com/@RAGERNFT" TargetMode="External"/><Relationship Id="rId154" Type="http://schemas.openxmlformats.org/officeDocument/2006/relationships/hyperlink" Target="https://www.youtube.com/@Jonycabesa" TargetMode="External"/><Relationship Id="rId275" Type="http://schemas.openxmlformats.org/officeDocument/2006/relationships/hyperlink" Target="https://www.youtube.com/@fujimana" TargetMode="External"/><Relationship Id="rId396" Type="http://schemas.openxmlformats.org/officeDocument/2006/relationships/hyperlink" Target="https://x.com/gem_detecter" TargetMode="External"/><Relationship Id="rId153" Type="http://schemas.openxmlformats.org/officeDocument/2006/relationships/hyperlink" Target="https://www.youtube.com/@inverarg/videos" TargetMode="External"/><Relationship Id="rId274" Type="http://schemas.openxmlformats.org/officeDocument/2006/relationships/hyperlink" Target="https://x.com/lskraise" TargetMode="External"/><Relationship Id="rId395" Type="http://schemas.openxmlformats.org/officeDocument/2006/relationships/hyperlink" Target="https://x.com/gainzy222" TargetMode="External"/><Relationship Id="rId152" Type="http://schemas.openxmlformats.org/officeDocument/2006/relationships/hyperlink" Target="https://x.com/Haskell_Gz" TargetMode="External"/><Relationship Id="rId273" Type="http://schemas.openxmlformats.org/officeDocument/2006/relationships/hyperlink" Target="https://www.youtube.com/@fujimana" TargetMode="External"/><Relationship Id="rId394" Type="http://schemas.openxmlformats.org/officeDocument/2006/relationships/hyperlink" Target="https://t.me/fuelzebagsss" TargetMode="External"/><Relationship Id="rId151" Type="http://schemas.openxmlformats.org/officeDocument/2006/relationships/hyperlink" Target="https://www.youtube.com/@itsguillemferrer/videos" TargetMode="External"/><Relationship Id="rId272" Type="http://schemas.openxmlformats.org/officeDocument/2006/relationships/hyperlink" Target="https://www.youtube.com/@CoinClubJapan" TargetMode="External"/><Relationship Id="rId393" Type="http://schemas.openxmlformats.org/officeDocument/2006/relationships/hyperlink" Target="https://www.instagram.com/thefinancialwolf/" TargetMode="External"/><Relationship Id="rId158" Type="http://schemas.openxmlformats.org/officeDocument/2006/relationships/hyperlink" Target="https://www.youtube.com/%EE%82%87PlanBTC/videos" TargetMode="External"/><Relationship Id="rId279" Type="http://schemas.openxmlformats.org/officeDocument/2006/relationships/hyperlink" Target="https://www.youtube.com/c/AfterSideCrypto/videos" TargetMode="External"/><Relationship Id="rId157" Type="http://schemas.openxmlformats.org/officeDocument/2006/relationships/hyperlink" Target="https://www.youtube.com/@nicocabrera" TargetMode="External"/><Relationship Id="rId278" Type="http://schemas.openxmlformats.org/officeDocument/2006/relationships/hyperlink" Target="https://x.com/TokenEconomist" TargetMode="External"/><Relationship Id="rId399" Type="http://schemas.openxmlformats.org/officeDocument/2006/relationships/hyperlink" Target="https://x.com/degen_hardy" TargetMode="External"/><Relationship Id="rId156" Type="http://schemas.openxmlformats.org/officeDocument/2006/relationships/hyperlink" Target="https://www.youtube.com/c/LaMejorEstrategiaCriptomonedas/about" TargetMode="External"/><Relationship Id="rId277" Type="http://schemas.openxmlformats.org/officeDocument/2006/relationships/hyperlink" Target="https://x.com/OtakuLabs_xyz" TargetMode="External"/><Relationship Id="rId398" Type="http://schemas.openxmlformats.org/officeDocument/2006/relationships/hyperlink" Target="https://www.youtube.com/@gennadym" TargetMode="External"/><Relationship Id="rId155" Type="http://schemas.openxmlformats.org/officeDocument/2006/relationships/hyperlink" Target="https://x.com/cryptokakarot" TargetMode="External"/><Relationship Id="rId276" Type="http://schemas.openxmlformats.org/officeDocument/2006/relationships/hyperlink" Target="https://twitter.com/osa3210" TargetMode="External"/><Relationship Id="rId397" Type="http://schemas.openxmlformats.org/officeDocument/2006/relationships/hyperlink" Target="https://x.com/gem_insider" TargetMode="External"/><Relationship Id="rId40" Type="http://schemas.openxmlformats.org/officeDocument/2006/relationships/hyperlink" Target="https://x.com/CryptoTroia" TargetMode="External"/><Relationship Id="rId42" Type="http://schemas.openxmlformats.org/officeDocument/2006/relationships/hyperlink" Target="https://x.com/CryptObjektiff" TargetMode="External"/><Relationship Id="rId41" Type="http://schemas.openxmlformats.org/officeDocument/2006/relationships/hyperlink" Target="https://t.me/cryptoaty" TargetMode="External"/><Relationship Id="rId44" Type="http://schemas.openxmlformats.org/officeDocument/2006/relationships/hyperlink" Target="https://x.com/cryptolft" TargetMode="External"/><Relationship Id="rId43" Type="http://schemas.openxmlformats.org/officeDocument/2006/relationships/hyperlink" Target="https://www.youtube.com/@CRYTPOIDO/featured" TargetMode="External"/><Relationship Id="rId46" Type="http://schemas.openxmlformats.org/officeDocument/2006/relationships/hyperlink" Target="https://www.youtube.com/c/caylakkriptocu?app=desktop" TargetMode="External"/><Relationship Id="rId45" Type="http://schemas.openxmlformats.org/officeDocument/2006/relationships/hyperlink" Target="https://x.com/cryptotrfacts" TargetMode="External"/><Relationship Id="rId509" Type="http://schemas.openxmlformats.org/officeDocument/2006/relationships/hyperlink" Target="https://t.me/sharkyprivate" TargetMode="External"/><Relationship Id="rId508" Type="http://schemas.openxmlformats.org/officeDocument/2006/relationships/hyperlink" Target="https://t.me/GoodieCalls" TargetMode="External"/><Relationship Id="rId503" Type="http://schemas.openxmlformats.org/officeDocument/2006/relationships/hyperlink" Target="https://www.youtube.com/c/TUBAR%C3%83ODABOLSA" TargetMode="External"/><Relationship Id="rId502" Type="http://schemas.openxmlformats.org/officeDocument/2006/relationships/hyperlink" Target="https://www.youtube.com/@MychelMendes" TargetMode="External"/><Relationship Id="rId501" Type="http://schemas.openxmlformats.org/officeDocument/2006/relationships/hyperlink" Target="https://www.youtube.com/@matheus.bordin" TargetMode="External"/><Relationship Id="rId500" Type="http://schemas.openxmlformats.org/officeDocument/2006/relationships/hyperlink" Target="https://www.youtube.com/@Marcoslima-" TargetMode="External"/><Relationship Id="rId507" Type="http://schemas.openxmlformats.org/officeDocument/2006/relationships/hyperlink" Target="https://x.com/crypto_k_s_a" TargetMode="External"/><Relationship Id="rId506" Type="http://schemas.openxmlformats.org/officeDocument/2006/relationships/hyperlink" Target="https://x.com/Crypto_K_S_A?t=b6OxWHB_MIDAeRCvgJOSYA&amp;s=08" TargetMode="External"/><Relationship Id="rId505" Type="http://schemas.openxmlformats.org/officeDocument/2006/relationships/hyperlink" Target="https://www.instagram.com/finanzaspablo/" TargetMode="External"/><Relationship Id="rId504" Type="http://schemas.openxmlformats.org/officeDocument/2006/relationships/hyperlink" Target="https://www.instagram.com/diegoseib" TargetMode="External"/><Relationship Id="rId48" Type="http://schemas.openxmlformats.org/officeDocument/2006/relationships/hyperlink" Target="https://x.com/CryptoEliif" TargetMode="External"/><Relationship Id="rId47" Type="http://schemas.openxmlformats.org/officeDocument/2006/relationships/hyperlink" Target="https://x.com/coindoktorunuz" TargetMode="External"/><Relationship Id="rId49" Type="http://schemas.openxmlformats.org/officeDocument/2006/relationships/hyperlink" Target="https://www.youtube.com/@ElitTurk/videos" TargetMode="External"/><Relationship Id="rId31" Type="http://schemas.openxmlformats.org/officeDocument/2006/relationships/hyperlink" Target="https://x.com/coinkritik" TargetMode="External"/><Relationship Id="rId30" Type="http://schemas.openxmlformats.org/officeDocument/2006/relationships/hyperlink" Target="https://x.com/coinuzmann" TargetMode="External"/><Relationship Id="rId33" Type="http://schemas.openxmlformats.org/officeDocument/2006/relationships/hyperlink" Target="https://x.com/KriptoChef" TargetMode="External"/><Relationship Id="rId32" Type="http://schemas.openxmlformats.org/officeDocument/2006/relationships/hyperlink" Target="https://x.com/0xCoolPanda" TargetMode="External"/><Relationship Id="rId35" Type="http://schemas.openxmlformats.org/officeDocument/2006/relationships/hyperlink" Target="https://www.youtube.com/@cryptoepoch/videos" TargetMode="External"/><Relationship Id="rId34" Type="http://schemas.openxmlformats.org/officeDocument/2006/relationships/hyperlink" Target="https://x.com/CryptoCNR" TargetMode="External"/><Relationship Id="rId37" Type="http://schemas.openxmlformats.org/officeDocument/2006/relationships/hyperlink" Target="https://www.youtube.com/@makercrypto/videos" TargetMode="External"/><Relationship Id="rId36" Type="http://schemas.openxmlformats.org/officeDocument/2006/relationships/hyperlink" Target="https://www.youtube.com/@CryptoHocam/videos" TargetMode="External"/><Relationship Id="rId39" Type="http://schemas.openxmlformats.org/officeDocument/2006/relationships/hyperlink" Target="https://t.me/ByScarFacee" TargetMode="External"/><Relationship Id="rId38" Type="http://schemas.openxmlformats.org/officeDocument/2006/relationships/hyperlink" Target="https://x.com/CryptoNeoo" TargetMode="External"/><Relationship Id="rId20" Type="http://schemas.openxmlformats.org/officeDocument/2006/relationships/hyperlink" Target="https://x.com/borsaressami" TargetMode="External"/><Relationship Id="rId22" Type="http://schemas.openxmlformats.org/officeDocument/2006/relationships/hyperlink" Target="https://www.youtube.com/@bucoinedir" TargetMode="External"/><Relationship Id="rId21" Type="http://schemas.openxmlformats.org/officeDocument/2006/relationships/hyperlink" Target="https://x.com/Braatuu" TargetMode="External"/><Relationship Id="rId24" Type="http://schemas.openxmlformats.org/officeDocument/2006/relationships/hyperlink" Target="https://x.com/CasanovaWeb3" TargetMode="External"/><Relationship Id="rId23" Type="http://schemas.openxmlformats.org/officeDocument/2006/relationships/hyperlink" Target="https://x.com/CaglahanEth" TargetMode="External"/><Relationship Id="rId409" Type="http://schemas.openxmlformats.org/officeDocument/2006/relationships/hyperlink" Target="https://www.youtube.com/@TheCryptoLark" TargetMode="External"/><Relationship Id="rId404" Type="http://schemas.openxmlformats.org/officeDocument/2006/relationships/hyperlink" Target="https://www.tiktok.com/@inspiredanalyst" TargetMode="External"/><Relationship Id="rId403" Type="http://schemas.openxmlformats.org/officeDocument/2006/relationships/hyperlink" Target="https://x.com/icedknife" TargetMode="External"/><Relationship Id="rId402" Type="http://schemas.openxmlformats.org/officeDocument/2006/relationships/hyperlink" Target="https://www.instagram.com/investingmentors/" TargetMode="External"/><Relationship Id="rId401" Type="http://schemas.openxmlformats.org/officeDocument/2006/relationships/hyperlink" Target="https://www.instagram.com/intelligentcryptocurrency/" TargetMode="External"/><Relationship Id="rId408" Type="http://schemas.openxmlformats.org/officeDocument/2006/relationships/hyperlink" Target="https://www.youtube.com/@LadyOfCrypto/videos" TargetMode="External"/><Relationship Id="rId407" Type="http://schemas.openxmlformats.org/officeDocument/2006/relationships/hyperlink" Target="https://x.com/teddi_speaks" TargetMode="External"/><Relationship Id="rId406" Type="http://schemas.openxmlformats.org/officeDocument/2006/relationships/hyperlink" Target="https://twitter.com/hackapreneur" TargetMode="External"/><Relationship Id="rId405" Type="http://schemas.openxmlformats.org/officeDocument/2006/relationships/hyperlink" Target="https://www.tiktok.com/@jollygreeninvestor" TargetMode="External"/><Relationship Id="rId26" Type="http://schemas.openxmlformats.org/officeDocument/2006/relationships/hyperlink" Target="https://x.com/cihan0xeth" TargetMode="External"/><Relationship Id="rId25" Type="http://schemas.openxmlformats.org/officeDocument/2006/relationships/hyperlink" Target="https://x.com/CemalTheMM" TargetMode="External"/><Relationship Id="rId28" Type="http://schemas.openxmlformats.org/officeDocument/2006/relationships/hyperlink" Target="https://twitter.com/coinagend" TargetMode="External"/><Relationship Id="rId27" Type="http://schemas.openxmlformats.org/officeDocument/2006/relationships/hyperlink" Target="https://twitter.com/cihan0xeth" TargetMode="External"/><Relationship Id="rId400" Type="http://schemas.openxmlformats.org/officeDocument/2006/relationships/hyperlink" Target="https://x.com/DefiIgnas" TargetMode="External"/><Relationship Id="rId29" Type="http://schemas.openxmlformats.org/officeDocument/2006/relationships/hyperlink" Target="https://www.youtube.com/@CoinHuntersTR/videos" TargetMode="External"/><Relationship Id="rId11" Type="http://schemas.openxmlformats.org/officeDocument/2006/relationships/hyperlink" Target="https://x.com/barbiecoinn?s=21" TargetMode="External"/><Relationship Id="rId10" Type="http://schemas.openxmlformats.org/officeDocument/2006/relationships/hyperlink" Target="https://x.com/BtBanaLiz" TargetMode="External"/><Relationship Id="rId13" Type="http://schemas.openxmlformats.org/officeDocument/2006/relationships/hyperlink" Target="https://t.me/ReturntoTrading" TargetMode="External"/><Relationship Id="rId12" Type="http://schemas.openxmlformats.org/officeDocument/2006/relationships/hyperlink" Target="https://x.com/barisbuyuktas" TargetMode="External"/><Relationship Id="rId512" Type="http://schemas.openxmlformats.org/officeDocument/2006/relationships/table" Target="../tables/table2.xml"/><Relationship Id="rId15" Type="http://schemas.openxmlformats.org/officeDocument/2006/relationships/hyperlink" Target="https://x.com/batikaneth" TargetMode="External"/><Relationship Id="rId14" Type="http://schemas.openxmlformats.org/officeDocument/2006/relationships/hyperlink" Target="https://x.com/KardesBaris" TargetMode="External"/><Relationship Id="rId17" Type="http://schemas.openxmlformats.org/officeDocument/2006/relationships/hyperlink" Target="https://www.youtube.com/@BerkayBerksun/videos" TargetMode="External"/><Relationship Id="rId16" Type="http://schemas.openxmlformats.org/officeDocument/2006/relationships/hyperlink" Target="https://x.com/nuhbatuhann" TargetMode="External"/><Relationship Id="rId19" Type="http://schemas.openxmlformats.org/officeDocument/2006/relationships/hyperlink" Target="https://x.com/Bitcoinmeraklsi?ref_src=twsrc%5Egoogle%7Ctwcamp%5Eserp%7Ctwgr%5Eauthor" TargetMode="External"/><Relationship Id="rId510" Type="http://schemas.openxmlformats.org/officeDocument/2006/relationships/drawing" Target="../drawings/drawing2.xml"/><Relationship Id="rId18" Type="http://schemas.openxmlformats.org/officeDocument/2006/relationships/hyperlink" Target="https://x.com/Bitcoinmeraklsi" TargetMode="External"/><Relationship Id="rId84" Type="http://schemas.openxmlformats.org/officeDocument/2006/relationships/hyperlink" Target="https://www.youtube.com/@KriptoSozluk" TargetMode="External"/><Relationship Id="rId83" Type="http://schemas.openxmlformats.org/officeDocument/2006/relationships/hyperlink" Target="https://www.youtube.com/@kriptoofis" TargetMode="External"/><Relationship Id="rId86" Type="http://schemas.openxmlformats.org/officeDocument/2006/relationships/hyperlink" Target="https://x.com/kriptozenciii" TargetMode="External"/><Relationship Id="rId85" Type="http://schemas.openxmlformats.org/officeDocument/2006/relationships/hyperlink" Target="https://x.com/kriptowarrior" TargetMode="External"/><Relationship Id="rId88" Type="http://schemas.openxmlformats.org/officeDocument/2006/relationships/hyperlink" Target="https://x.com/lKriptoBluel" TargetMode="External"/><Relationship Id="rId87" Type="http://schemas.openxmlformats.org/officeDocument/2006/relationships/hyperlink" Target="https://x.com/kriptobi" TargetMode="External"/><Relationship Id="rId89" Type="http://schemas.openxmlformats.org/officeDocument/2006/relationships/hyperlink" Target="https://x.com/kriptokrat5" TargetMode="External"/><Relationship Id="rId80" Type="http://schemas.openxmlformats.org/officeDocument/2006/relationships/hyperlink" Target="https://x.com/kahincryptocu" TargetMode="External"/><Relationship Id="rId82" Type="http://schemas.openxmlformats.org/officeDocument/2006/relationships/hyperlink" Target="https://www.youtube.com/@KriptoNedir/featured" TargetMode="External"/><Relationship Id="rId81" Type="http://schemas.openxmlformats.org/officeDocument/2006/relationships/hyperlink" Target="https://x.com/kriptokraliyeni" TargetMode="External"/><Relationship Id="rId73" Type="http://schemas.openxmlformats.org/officeDocument/2006/relationships/hyperlink" Target="https://x.com/KoinSaati?ref_src=twsrc%5Egoogle%7Ctwcamp%5Eserp%7Ctwgr%5Eauthor" TargetMode="External"/><Relationship Id="rId72" Type="http://schemas.openxmlformats.org/officeDocument/2006/relationships/hyperlink" Target="https://x.com/kerimcalender" TargetMode="External"/><Relationship Id="rId75" Type="http://schemas.openxmlformats.org/officeDocument/2006/relationships/hyperlink" Target="https://x.com/KriptoEfsanesi" TargetMode="External"/><Relationship Id="rId74" Type="http://schemas.openxmlformats.org/officeDocument/2006/relationships/hyperlink" Target="https://x.com/kripto_cem" TargetMode="External"/><Relationship Id="rId77" Type="http://schemas.openxmlformats.org/officeDocument/2006/relationships/hyperlink" Target="https://x.com/Kripto_HaYalet" TargetMode="External"/><Relationship Id="rId76" Type="http://schemas.openxmlformats.org/officeDocument/2006/relationships/hyperlink" Target="https://www.youtube.com/user/iakgun28101993" TargetMode="External"/><Relationship Id="rId79" Type="http://schemas.openxmlformats.org/officeDocument/2006/relationships/hyperlink" Target="https://www.youtube.com/@KriptoKafalar" TargetMode="External"/><Relationship Id="rId78" Type="http://schemas.openxmlformats.org/officeDocument/2006/relationships/hyperlink" Target="https://x.com/kriptoholder" TargetMode="External"/><Relationship Id="rId71" Type="http://schemas.openxmlformats.org/officeDocument/2006/relationships/hyperlink" Target="https://x.com/cryptokahin" TargetMode="External"/><Relationship Id="rId70" Type="http://schemas.openxmlformats.org/officeDocument/2006/relationships/hyperlink" Target="https://www.youtube.com/@KadirSquirrel" TargetMode="External"/><Relationship Id="rId62" Type="http://schemas.openxmlformats.org/officeDocument/2006/relationships/hyperlink" Target="https://x.com/hasanankatr" TargetMode="External"/><Relationship Id="rId61" Type="http://schemas.openxmlformats.org/officeDocument/2006/relationships/hyperlink" Target="https://x.com/hanturksc" TargetMode="External"/><Relationship Id="rId64" Type="http://schemas.openxmlformats.org/officeDocument/2006/relationships/hyperlink" Target="https://x.com/HeathleyETH" TargetMode="External"/><Relationship Id="rId63" Type="http://schemas.openxmlformats.org/officeDocument/2006/relationships/hyperlink" Target="https://x.com/HASOsyalmedya" TargetMode="External"/><Relationship Id="rId66" Type="http://schemas.openxmlformats.org/officeDocument/2006/relationships/hyperlink" Target="https://x.com/howtousecrypto" TargetMode="External"/><Relationship Id="rId65" Type="http://schemas.openxmlformats.org/officeDocument/2006/relationships/hyperlink" Target="https://x.com/hirozaki2020" TargetMode="External"/><Relationship Id="rId68" Type="http://schemas.openxmlformats.org/officeDocument/2006/relationships/hyperlink" Target="https://x.com/xbtirfan" TargetMode="External"/><Relationship Id="rId67" Type="http://schemas.openxmlformats.org/officeDocument/2006/relationships/hyperlink" Target="https://x.com/doruk1st" TargetMode="External"/><Relationship Id="rId60" Type="http://schemas.openxmlformats.org/officeDocument/2006/relationships/hyperlink" Target="https://x.com/GokhanGark" TargetMode="External"/><Relationship Id="rId69" Type="http://schemas.openxmlformats.org/officeDocument/2006/relationships/hyperlink" Target="https://twitter.com/jesscoin" TargetMode="External"/><Relationship Id="rId51" Type="http://schemas.openxmlformats.org/officeDocument/2006/relationships/hyperlink" Target="https://x.com/engineer_trader?s=21" TargetMode="External"/><Relationship Id="rId50" Type="http://schemas.openxmlformats.org/officeDocument/2006/relationships/hyperlink" Target="https://x.com/locksmithcrypto" TargetMode="External"/><Relationship Id="rId53" Type="http://schemas.openxmlformats.org/officeDocument/2006/relationships/hyperlink" Target="https://www.youtube.com/@ExpertPara" TargetMode="External"/><Relationship Id="rId52" Type="http://schemas.openxmlformats.org/officeDocument/2006/relationships/hyperlink" Target="https://www.youtube.com/@ExpertKripto/videos" TargetMode="External"/><Relationship Id="rId55" Type="http://schemas.openxmlformats.org/officeDocument/2006/relationships/hyperlink" Target="https://x.com/0xfersah" TargetMode="External"/><Relationship Id="rId54" Type="http://schemas.openxmlformats.org/officeDocument/2006/relationships/hyperlink" Target="https://x.com/kriptofati" TargetMode="External"/><Relationship Id="rId57" Type="http://schemas.openxmlformats.org/officeDocument/2006/relationships/hyperlink" Target="https://x.com/Foxyyeth" TargetMode="External"/><Relationship Id="rId56" Type="http://schemas.openxmlformats.org/officeDocument/2006/relationships/hyperlink" Target="https://x.com/Mkar34" TargetMode="External"/><Relationship Id="rId59" Type="http://schemas.openxmlformats.org/officeDocument/2006/relationships/hyperlink" Target="https://x.com/mgokhanduman" TargetMode="External"/><Relationship Id="rId58" Type="http://schemas.openxmlformats.org/officeDocument/2006/relationships/hyperlink" Target="https://twitter.com/genelpatron01" TargetMode="External"/><Relationship Id="rId107" Type="http://schemas.openxmlformats.org/officeDocument/2006/relationships/hyperlink" Target="https://x.com/nftmufettisi" TargetMode="External"/><Relationship Id="rId228" Type="http://schemas.openxmlformats.org/officeDocument/2006/relationships/hyperlink" Target="https://www.youtube.com/@CriptoExplosiva" TargetMode="External"/><Relationship Id="rId349" Type="http://schemas.openxmlformats.org/officeDocument/2006/relationships/hyperlink" Target="https://www.instagram.com/altcoindaily/" TargetMode="External"/><Relationship Id="rId106" Type="http://schemas.openxmlformats.org/officeDocument/2006/relationships/hyperlink" Target="https://www.youtube.com/@MonteKriptoKontu" TargetMode="External"/><Relationship Id="rId227" Type="http://schemas.openxmlformats.org/officeDocument/2006/relationships/hyperlink" Target="https://www.youtube.com/@Ramon_Cunha" TargetMode="External"/><Relationship Id="rId348" Type="http://schemas.openxmlformats.org/officeDocument/2006/relationships/hyperlink" Target="https://twitter.com/wacy_time1" TargetMode="External"/><Relationship Id="rId469" Type="http://schemas.openxmlformats.org/officeDocument/2006/relationships/hyperlink" Target="https://www.youtube.com/c/Coocolab/videos" TargetMode="External"/><Relationship Id="rId105" Type="http://schemas.openxmlformats.org/officeDocument/2006/relationships/hyperlink" Target="https://x.com/muratmmturk" TargetMode="External"/><Relationship Id="rId226" Type="http://schemas.openxmlformats.org/officeDocument/2006/relationships/hyperlink" Target="https://www.youtube.com/@patocrypto" TargetMode="External"/><Relationship Id="rId347" Type="http://schemas.openxmlformats.org/officeDocument/2006/relationships/hyperlink" Target="https://x.com/ZssBecker" TargetMode="External"/><Relationship Id="rId468" Type="http://schemas.openxmlformats.org/officeDocument/2006/relationships/hyperlink" Target="https://twitter.com/Calman16910515" TargetMode="External"/><Relationship Id="rId104" Type="http://schemas.openxmlformats.org/officeDocument/2006/relationships/hyperlink" Target="https://x.com/milyonerzihin" TargetMode="External"/><Relationship Id="rId225" Type="http://schemas.openxmlformats.org/officeDocument/2006/relationships/hyperlink" Target="https://www.youtube.com/@Insalubrescripto" TargetMode="External"/><Relationship Id="rId346" Type="http://schemas.openxmlformats.org/officeDocument/2006/relationships/hyperlink" Target="https://x.com/ACXtrades" TargetMode="External"/><Relationship Id="rId467" Type="http://schemas.openxmlformats.org/officeDocument/2006/relationships/hyperlink" Target="https://twitter.com/CalmanBTC" TargetMode="External"/><Relationship Id="rId109" Type="http://schemas.openxmlformats.org/officeDocument/2006/relationships/hyperlink" Target="https://x.com/oguzhantaskran" TargetMode="External"/><Relationship Id="rId108" Type="http://schemas.openxmlformats.org/officeDocument/2006/relationships/hyperlink" Target="https://x.com/NikkiSixx_7" TargetMode="External"/><Relationship Id="rId229" Type="http://schemas.openxmlformats.org/officeDocument/2006/relationships/hyperlink" Target="https://www.youtube.com/@CriptoComFe" TargetMode="External"/><Relationship Id="rId220" Type="http://schemas.openxmlformats.org/officeDocument/2006/relationships/hyperlink" Target="https://www.instagram.com/salvatoregiuseppee/" TargetMode="External"/><Relationship Id="rId341" Type="http://schemas.openxmlformats.org/officeDocument/2006/relationships/hyperlink" Target="https://www.youtube.com/c/YoanAxie" TargetMode="External"/><Relationship Id="rId462" Type="http://schemas.openxmlformats.org/officeDocument/2006/relationships/hyperlink" Target="https://twitter.com/CryptoWizardd" TargetMode="External"/><Relationship Id="rId340" Type="http://schemas.openxmlformats.org/officeDocument/2006/relationships/hyperlink" Target="https://www.tiktok.com/@tib.talks?lang=fr" TargetMode="External"/><Relationship Id="rId461" Type="http://schemas.openxmlformats.org/officeDocument/2006/relationships/hyperlink" Target="https://www.instagram.com/alex_belov13/" TargetMode="External"/><Relationship Id="rId460" Type="http://schemas.openxmlformats.org/officeDocument/2006/relationships/hyperlink" Target="https://x.com/wallstreetbets" TargetMode="External"/><Relationship Id="rId103" Type="http://schemas.openxmlformats.org/officeDocument/2006/relationships/hyperlink" Target="https://x.com/kriptomete_" TargetMode="External"/><Relationship Id="rId224" Type="http://schemas.openxmlformats.org/officeDocument/2006/relationships/hyperlink" Target="https://www.instagram.com/igorfreitasm/" TargetMode="External"/><Relationship Id="rId345" Type="http://schemas.openxmlformats.org/officeDocument/2006/relationships/hyperlink" Target="https://x.com/0xSweep" TargetMode="External"/><Relationship Id="rId466" Type="http://schemas.openxmlformats.org/officeDocument/2006/relationships/hyperlink" Target="https://www.youtube.com/c/Andehui%E5%BF%97%E8%BE%89" TargetMode="External"/><Relationship Id="rId102" Type="http://schemas.openxmlformats.org/officeDocument/2006/relationships/hyperlink" Target="https://x.com/mesgo_" TargetMode="External"/><Relationship Id="rId223" Type="http://schemas.openxmlformats.org/officeDocument/2006/relationships/hyperlink" Target="https://www.youtube.com/@fabiocatalao_" TargetMode="External"/><Relationship Id="rId344" Type="http://schemas.openxmlformats.org/officeDocument/2006/relationships/hyperlink" Target="https://x.com/0xmistblade" TargetMode="External"/><Relationship Id="rId465" Type="http://schemas.openxmlformats.org/officeDocument/2006/relationships/hyperlink" Target="https://www.youtube.com/channel/UCYID-1RNw63kbCV3iAShmog/featured" TargetMode="External"/><Relationship Id="rId101" Type="http://schemas.openxmlformats.org/officeDocument/2006/relationships/hyperlink" Target="https://x.com/mericfi" TargetMode="External"/><Relationship Id="rId222" Type="http://schemas.openxmlformats.org/officeDocument/2006/relationships/hyperlink" Target="https://www.youtube.com/@CriptoExplosiva" TargetMode="External"/><Relationship Id="rId343" Type="http://schemas.openxmlformats.org/officeDocument/2006/relationships/hyperlink" Target="https://x.com/0xmistblade" TargetMode="External"/><Relationship Id="rId464" Type="http://schemas.openxmlformats.org/officeDocument/2006/relationships/hyperlink" Target="https://www.youtube.com/@CryptoJams" TargetMode="External"/><Relationship Id="rId100" Type="http://schemas.openxmlformats.org/officeDocument/2006/relationships/hyperlink" Target="https://www.youtube.com/@melikbersah" TargetMode="External"/><Relationship Id="rId221" Type="http://schemas.openxmlformats.org/officeDocument/2006/relationships/hyperlink" Target="https://www.youtube.com/@arturguimaraesp" TargetMode="External"/><Relationship Id="rId342" Type="http://schemas.openxmlformats.org/officeDocument/2006/relationships/hyperlink" Target="https://www.youtube.com/@yrile/videos" TargetMode="External"/><Relationship Id="rId463" Type="http://schemas.openxmlformats.org/officeDocument/2006/relationships/hyperlink" Target="https://www.youtube.com/@cornemarchand" TargetMode="External"/><Relationship Id="rId217" Type="http://schemas.openxmlformats.org/officeDocument/2006/relationships/hyperlink" Target="https://www.youtube.com/@7INGRESOS" TargetMode="External"/><Relationship Id="rId338" Type="http://schemas.openxmlformats.org/officeDocument/2006/relationships/hyperlink" Target="https://www.youtube.com/@rorovevo" TargetMode="External"/><Relationship Id="rId459" Type="http://schemas.openxmlformats.org/officeDocument/2006/relationships/hyperlink" Target="https://www.youtube.com/@VoskCoin%60" TargetMode="External"/><Relationship Id="rId216" Type="http://schemas.openxmlformats.org/officeDocument/2006/relationships/hyperlink" Target="https://www.instagram.com/isracrypto.eth?utm_source=ig_web_button_share_sheet&amp;igsh=ZDNlZDc0MzIxNw%3D%3D" TargetMode="External"/><Relationship Id="rId337" Type="http://schemas.openxmlformats.org/officeDocument/2006/relationships/hyperlink" Target="https://www.tiktok.com/@quarter.elh?lang=en" TargetMode="External"/><Relationship Id="rId458" Type="http://schemas.openxmlformats.org/officeDocument/2006/relationships/hyperlink" Target="https://www.tiktok.com/@virtualbacon" TargetMode="External"/><Relationship Id="rId215" Type="http://schemas.openxmlformats.org/officeDocument/2006/relationships/hyperlink" Target="https://www.instagram.com/gabrielressan/" TargetMode="External"/><Relationship Id="rId336" Type="http://schemas.openxmlformats.org/officeDocument/2006/relationships/hyperlink" Target="https://www.instagram.com/frenchstartupper/" TargetMode="External"/><Relationship Id="rId457" Type="http://schemas.openxmlformats.org/officeDocument/2006/relationships/hyperlink" Target="https://www.youtube.com/@VirtualBacon/videos" TargetMode="External"/><Relationship Id="rId214" Type="http://schemas.openxmlformats.org/officeDocument/2006/relationships/hyperlink" Target="https://www.youtube.com/@PolacoFinanzas" TargetMode="External"/><Relationship Id="rId335" Type="http://schemas.openxmlformats.org/officeDocument/2006/relationships/hyperlink" Target="https://www.tiktok.com/search?q=Maxime%20Painchaud&amp;t=1658412297459" TargetMode="External"/><Relationship Id="rId456" Type="http://schemas.openxmlformats.org/officeDocument/2006/relationships/hyperlink" Target="https://x.com/Tradinator33" TargetMode="External"/><Relationship Id="rId219" Type="http://schemas.openxmlformats.org/officeDocument/2006/relationships/hyperlink" Target="https://www.instagram.com/perecrypto/" TargetMode="External"/><Relationship Id="rId218" Type="http://schemas.openxmlformats.org/officeDocument/2006/relationships/hyperlink" Target="https://www.instagram.com/patomadrazo_?utm_source=ig_web_button_share_sheet&amp;igsh=ZDNlZDc0MzIxNw%3D%3D" TargetMode="External"/><Relationship Id="rId339" Type="http://schemas.openxmlformats.org/officeDocument/2006/relationships/hyperlink" Target="https://x.com/TagadoBTC/" TargetMode="External"/><Relationship Id="rId330" Type="http://schemas.openxmlformats.org/officeDocument/2006/relationships/hyperlink" Target="https://www.instagram.com/frenchstartupper/" TargetMode="External"/><Relationship Id="rId451" Type="http://schemas.openxmlformats.org/officeDocument/2006/relationships/hyperlink" Target="https://www.tiktok.com/@thecryptohippie" TargetMode="External"/><Relationship Id="rId450" Type="http://schemas.openxmlformats.org/officeDocument/2006/relationships/hyperlink" Target="https://www.tiktok.com/@thewolfofbitcoins" TargetMode="External"/><Relationship Id="rId213" Type="http://schemas.openxmlformats.org/officeDocument/2006/relationships/hyperlink" Target="https://x.com/SwiatKrypto" TargetMode="External"/><Relationship Id="rId334" Type="http://schemas.openxmlformats.org/officeDocument/2006/relationships/hyperlink" Target="https://x.com/Jeuxcryptofr" TargetMode="External"/><Relationship Id="rId455" Type="http://schemas.openxmlformats.org/officeDocument/2006/relationships/hyperlink" Target="https://twitter.com/defitracer" TargetMode="External"/><Relationship Id="rId212" Type="http://schemas.openxmlformats.org/officeDocument/2006/relationships/hyperlink" Target="https://www.youtube.com/@kryptowalutydlapoczatkujacych" TargetMode="External"/><Relationship Id="rId333" Type="http://schemas.openxmlformats.org/officeDocument/2006/relationships/hyperlink" Target="https://www.youtube.com/@Hasheur" TargetMode="External"/><Relationship Id="rId454" Type="http://schemas.openxmlformats.org/officeDocument/2006/relationships/hyperlink" Target="https://x.com/tikooww" TargetMode="External"/><Relationship Id="rId211" Type="http://schemas.openxmlformats.org/officeDocument/2006/relationships/hyperlink" Target="https://x.com/MaciejTomczyk3" TargetMode="External"/><Relationship Id="rId332" Type="http://schemas.openxmlformats.org/officeDocument/2006/relationships/hyperlink" Target="https://twitter.com/Crypto__Goku" TargetMode="External"/><Relationship Id="rId453" Type="http://schemas.openxmlformats.org/officeDocument/2006/relationships/hyperlink" Target="https://www.tiktok.com/@therealmelaninking" TargetMode="External"/><Relationship Id="rId210" Type="http://schemas.openxmlformats.org/officeDocument/2006/relationships/hyperlink" Target="https://www.youtube.com/@BibliaKryptowalut" TargetMode="External"/><Relationship Id="rId331" Type="http://schemas.openxmlformats.org/officeDocument/2006/relationships/hyperlink" Target="https://www.tiktok.com/@frenchstartupper" TargetMode="External"/><Relationship Id="rId452" Type="http://schemas.openxmlformats.org/officeDocument/2006/relationships/hyperlink" Target="https://www.tiktok.com/@theniftyinvestor" TargetMode="External"/><Relationship Id="rId370" Type="http://schemas.openxmlformats.org/officeDocument/2006/relationships/hyperlink" Target="https://x.com/cometcalls" TargetMode="External"/><Relationship Id="rId491" Type="http://schemas.openxmlformats.org/officeDocument/2006/relationships/hyperlink" Target="https://twitter.com/TokenMore" TargetMode="External"/><Relationship Id="rId490" Type="http://schemas.openxmlformats.org/officeDocument/2006/relationships/hyperlink" Target="https://twitter.com/R5Z5G" TargetMode="External"/><Relationship Id="rId129" Type="http://schemas.openxmlformats.org/officeDocument/2006/relationships/hyperlink" Target="https://x.com/teknikcihoca" TargetMode="External"/><Relationship Id="rId128" Type="http://schemas.openxmlformats.org/officeDocument/2006/relationships/hyperlink" Target="https://x.com/profesorishere" TargetMode="External"/><Relationship Id="rId249" Type="http://schemas.openxmlformats.org/officeDocument/2006/relationships/hyperlink" Target="https://t.me/heedan22" TargetMode="External"/><Relationship Id="rId127" Type="http://schemas.openxmlformats.org/officeDocument/2006/relationships/hyperlink" Target="https://www.youtube.com/@tarikbilenn" TargetMode="External"/><Relationship Id="rId248" Type="http://schemas.openxmlformats.org/officeDocument/2006/relationships/hyperlink" Target="https://t.me/engtokor" TargetMode="External"/><Relationship Id="rId369" Type="http://schemas.openxmlformats.org/officeDocument/2006/relationships/hyperlink" Target="https://www.instagram.com/coingrams/" TargetMode="External"/><Relationship Id="rId126" Type="http://schemas.openxmlformats.org/officeDocument/2006/relationships/hyperlink" Target="https://x.com/traderseyma" TargetMode="External"/><Relationship Id="rId247" Type="http://schemas.openxmlformats.org/officeDocument/2006/relationships/hyperlink" Target="https://t.me/GemHiveDAOchannel" TargetMode="External"/><Relationship Id="rId368" Type="http://schemas.openxmlformats.org/officeDocument/2006/relationships/hyperlink" Target="https://www.youtube.com/channel/UCdSa35z0ZFiQQnhD1bFzgXQ" TargetMode="External"/><Relationship Id="rId489" Type="http://schemas.openxmlformats.org/officeDocument/2006/relationships/hyperlink" Target="https://twitter.com/0xKillTheWolf" TargetMode="External"/><Relationship Id="rId121" Type="http://schemas.openxmlformats.org/officeDocument/2006/relationships/hyperlink" Target="https://x.com/kuzisatoshinin" TargetMode="External"/><Relationship Id="rId242" Type="http://schemas.openxmlformats.org/officeDocument/2006/relationships/hyperlink" Target="https://t.me/cryptopandann" TargetMode="External"/><Relationship Id="rId363" Type="http://schemas.openxmlformats.org/officeDocument/2006/relationships/hyperlink" Target="https://x.com/bull_bnb" TargetMode="External"/><Relationship Id="rId484" Type="http://schemas.openxmlformats.org/officeDocument/2006/relationships/hyperlink" Target="https://www.youtube.com/channel/UCMkk-akdGTugIVu10-bXQEQ/featured" TargetMode="External"/><Relationship Id="rId120" Type="http://schemas.openxmlformats.org/officeDocument/2006/relationships/hyperlink" Target="https://x.com/rockerfellerxau" TargetMode="External"/><Relationship Id="rId241" Type="http://schemas.openxmlformats.org/officeDocument/2006/relationships/hyperlink" Target="https://t.me/cryptomacase" TargetMode="External"/><Relationship Id="rId362" Type="http://schemas.openxmlformats.org/officeDocument/2006/relationships/hyperlink" Target="https://x.com/brommmyy" TargetMode="External"/><Relationship Id="rId483" Type="http://schemas.openxmlformats.org/officeDocument/2006/relationships/hyperlink" Target="https://twitter.com/11dizhu" TargetMode="External"/><Relationship Id="rId240" Type="http://schemas.openxmlformats.org/officeDocument/2006/relationships/hyperlink" Target="https://t.me/lovejudylee" TargetMode="External"/><Relationship Id="rId361" Type="http://schemas.openxmlformats.org/officeDocument/2006/relationships/hyperlink" Target="https://www.instagram.com/blocklantis/" TargetMode="External"/><Relationship Id="rId482" Type="http://schemas.openxmlformats.org/officeDocument/2006/relationships/hyperlink" Target="https://twitter.com/buereth" TargetMode="External"/><Relationship Id="rId360" Type="http://schemas.openxmlformats.org/officeDocument/2006/relationships/hyperlink" Target="https://x.com/blockchainbob" TargetMode="External"/><Relationship Id="rId481" Type="http://schemas.openxmlformats.org/officeDocument/2006/relationships/hyperlink" Target="https://twitter.com/GuaTianGuaTian" TargetMode="External"/><Relationship Id="rId125" Type="http://schemas.openxmlformats.org/officeDocument/2006/relationships/hyperlink" Target="https://x.com/CryptooSeneR" TargetMode="External"/><Relationship Id="rId246" Type="http://schemas.openxmlformats.org/officeDocument/2006/relationships/hyperlink" Target="https://t.me/fireantcrypto" TargetMode="External"/><Relationship Id="rId367" Type="http://schemas.openxmlformats.org/officeDocument/2006/relationships/hyperlink" Target="https://www.instagram.com/coingape/" TargetMode="External"/><Relationship Id="rId488" Type="http://schemas.openxmlformats.org/officeDocument/2006/relationships/hyperlink" Target="https://twitter.com/0xBclub" TargetMode="External"/><Relationship Id="rId124" Type="http://schemas.openxmlformats.org/officeDocument/2006/relationships/hyperlink" Target="https://x.com/sinavkk" TargetMode="External"/><Relationship Id="rId245" Type="http://schemas.openxmlformats.org/officeDocument/2006/relationships/hyperlink" Target="https://t.me/enjoymyhobby" TargetMode="External"/><Relationship Id="rId366" Type="http://schemas.openxmlformats.org/officeDocument/2006/relationships/hyperlink" Target="https://x.com/cryptocevo?s=21&amp;t=AGOxdb9ccwSmcY2XtRjloA" TargetMode="External"/><Relationship Id="rId487" Type="http://schemas.openxmlformats.org/officeDocument/2006/relationships/hyperlink" Target="https://twitter.com/yuyue_chris" TargetMode="External"/><Relationship Id="rId123" Type="http://schemas.openxmlformats.org/officeDocument/2006/relationships/hyperlink" Target="https://x.com/Kriptomaniaca?t=wrDpjIGY8dLZkd2S4_9zxw&amp;s=09" TargetMode="External"/><Relationship Id="rId244" Type="http://schemas.openxmlformats.org/officeDocument/2006/relationships/hyperlink" Target="https://t.me/Dynastylabs" TargetMode="External"/><Relationship Id="rId365" Type="http://schemas.openxmlformats.org/officeDocument/2006/relationships/hyperlink" Target="https://x.com/themooncarl" TargetMode="External"/><Relationship Id="rId486" Type="http://schemas.openxmlformats.org/officeDocument/2006/relationships/hyperlink" Target="https://twitter.com/qklxsqf" TargetMode="External"/><Relationship Id="rId122" Type="http://schemas.openxmlformats.org/officeDocument/2006/relationships/hyperlink" Target="https://x.com/Selcoin" TargetMode="External"/><Relationship Id="rId243" Type="http://schemas.openxmlformats.org/officeDocument/2006/relationships/hyperlink" Target="https://t.me/dolgommagic" TargetMode="External"/><Relationship Id="rId364" Type="http://schemas.openxmlformats.org/officeDocument/2006/relationships/hyperlink" Target="https://www.tiktok.com/@businesswithnoah" TargetMode="External"/><Relationship Id="rId485" Type="http://schemas.openxmlformats.org/officeDocument/2006/relationships/hyperlink" Target="https://twitter.com/NintendoDoomed" TargetMode="External"/><Relationship Id="rId95" Type="http://schemas.openxmlformats.org/officeDocument/2006/relationships/hyperlink" Target="https://x.com/islakwcterlii" TargetMode="External"/><Relationship Id="rId94" Type="http://schemas.openxmlformats.org/officeDocument/2006/relationships/hyperlink" Target="https://x.com/kriptoman0" TargetMode="External"/><Relationship Id="rId97" Type="http://schemas.openxmlformats.org/officeDocument/2006/relationships/hyperlink" Target="https://x.com/CryptoLego0311" TargetMode="External"/><Relationship Id="rId96" Type="http://schemas.openxmlformats.org/officeDocument/2006/relationships/hyperlink" Target="https://x.com/cryptolacasa" TargetMode="External"/><Relationship Id="rId99" Type="http://schemas.openxmlformats.org/officeDocument/2006/relationships/hyperlink" Target="https://twitter.com/btcoinmag" TargetMode="External"/><Relationship Id="rId480" Type="http://schemas.openxmlformats.org/officeDocument/2006/relationships/hyperlink" Target="https://twitter.com/vvickym2" TargetMode="External"/><Relationship Id="rId98" Type="http://schemas.openxmlformats.org/officeDocument/2006/relationships/hyperlink" Target="https://x.com/lord_of_crypto_" TargetMode="External"/><Relationship Id="rId91" Type="http://schemas.openxmlformats.org/officeDocument/2006/relationships/hyperlink" Target="https://x.com/theKriptolik" TargetMode="External"/><Relationship Id="rId90" Type="http://schemas.openxmlformats.org/officeDocument/2006/relationships/hyperlink" Target="https://x.com/KriptoliaTR" TargetMode="External"/><Relationship Id="rId93" Type="http://schemas.openxmlformats.org/officeDocument/2006/relationships/hyperlink" Target="https://x.com/kriptoloki/status/1962579658211230189" TargetMode="External"/><Relationship Id="rId92" Type="http://schemas.openxmlformats.org/officeDocument/2006/relationships/hyperlink" Target="https://x.com/KriptoLisa" TargetMode="External"/><Relationship Id="rId118" Type="http://schemas.openxmlformats.org/officeDocument/2006/relationships/hyperlink" Target="https://x.com/eness_turann" TargetMode="External"/><Relationship Id="rId239" Type="http://schemas.openxmlformats.org/officeDocument/2006/relationships/hyperlink" Target="https://t.me/Crypto_jailbreak_Korea" TargetMode="External"/><Relationship Id="rId117" Type="http://schemas.openxmlformats.org/officeDocument/2006/relationships/hyperlink" Target="https://x.com/by_paradoks" TargetMode="External"/><Relationship Id="rId238" Type="http://schemas.openxmlformats.org/officeDocument/2006/relationships/hyperlink" Target="https://t.me/Coin_AirdropKing" TargetMode="External"/><Relationship Id="rId359" Type="http://schemas.openxmlformats.org/officeDocument/2006/relationships/hyperlink" Target="https://www.instagram.com/bitcoinpricedaily/" TargetMode="External"/><Relationship Id="rId116" Type="http://schemas.openxmlformats.org/officeDocument/2006/relationships/hyperlink" Target="https://www.youtube.com/@para_hub" TargetMode="External"/><Relationship Id="rId237" Type="http://schemas.openxmlformats.org/officeDocument/2006/relationships/hyperlink" Target="https://t.me/dogeland01" TargetMode="External"/><Relationship Id="rId358" Type="http://schemas.openxmlformats.org/officeDocument/2006/relationships/hyperlink" Target="https://www.instagram.com/bitcoin.page/" TargetMode="External"/><Relationship Id="rId479" Type="http://schemas.openxmlformats.org/officeDocument/2006/relationships/hyperlink" Target="https://twitter.com/victalk_eth" TargetMode="External"/><Relationship Id="rId115" Type="http://schemas.openxmlformats.org/officeDocument/2006/relationships/hyperlink" Target="https://x.com/PabloXbtc?t=xlwuBsH0c16RleceUik2Jg&amp;s=09" TargetMode="External"/><Relationship Id="rId236" Type="http://schemas.openxmlformats.org/officeDocument/2006/relationships/hyperlink" Target="https://t.me/churin0329" TargetMode="External"/><Relationship Id="rId357" Type="http://schemas.openxmlformats.org/officeDocument/2006/relationships/hyperlink" Target="https://x.com/_BillionAireSon" TargetMode="External"/><Relationship Id="rId478" Type="http://schemas.openxmlformats.org/officeDocument/2006/relationships/hyperlink" Target="https://twitter.com/0xNing0x" TargetMode="External"/><Relationship Id="rId119" Type="http://schemas.openxmlformats.org/officeDocument/2006/relationships/hyperlink" Target="https://twitter.com/cryptododo7" TargetMode="External"/><Relationship Id="rId110" Type="http://schemas.openxmlformats.org/officeDocument/2006/relationships/hyperlink" Target="https://twitter.com/godofgem" TargetMode="External"/><Relationship Id="rId231" Type="http://schemas.openxmlformats.org/officeDocument/2006/relationships/hyperlink" Target="https://t.me/Board_the_Ark" TargetMode="External"/><Relationship Id="rId352" Type="http://schemas.openxmlformats.org/officeDocument/2006/relationships/hyperlink" Target="https://twitter.com/ardizor" TargetMode="External"/><Relationship Id="rId473" Type="http://schemas.openxmlformats.org/officeDocument/2006/relationships/hyperlink" Target="https://twitter.com/nft_hu" TargetMode="External"/><Relationship Id="rId230" Type="http://schemas.openxmlformats.org/officeDocument/2006/relationships/hyperlink" Target="https://t.me/bounty_atm" TargetMode="External"/><Relationship Id="rId351" Type="http://schemas.openxmlformats.org/officeDocument/2006/relationships/hyperlink" Target="https://x.com/blknoiz06" TargetMode="External"/><Relationship Id="rId472" Type="http://schemas.openxmlformats.org/officeDocument/2006/relationships/hyperlink" Target="https://twitter.com/FEIlXIE" TargetMode="External"/><Relationship Id="rId350" Type="http://schemas.openxmlformats.org/officeDocument/2006/relationships/hyperlink" Target="https://x.com/Altsteinn" TargetMode="External"/><Relationship Id="rId471" Type="http://schemas.openxmlformats.org/officeDocument/2006/relationships/hyperlink" Target="https://twitter.com/cryptowilson_?t=HGbOSqJTBCe1ay51WZyhzA&amp;s=09" TargetMode="External"/><Relationship Id="rId470" Type="http://schemas.openxmlformats.org/officeDocument/2006/relationships/hyperlink" Target="https://x.com/CryptosArnault" TargetMode="External"/><Relationship Id="rId114" Type="http://schemas.openxmlformats.org/officeDocument/2006/relationships/hyperlink" Target="http://x.com/0xpandasol" TargetMode="External"/><Relationship Id="rId235" Type="http://schemas.openxmlformats.org/officeDocument/2006/relationships/hyperlink" Target="https://t.me/churin0329" TargetMode="External"/><Relationship Id="rId356" Type="http://schemas.openxmlformats.org/officeDocument/2006/relationships/hyperlink" Target="http://x.com/wisdommatic" TargetMode="External"/><Relationship Id="rId477" Type="http://schemas.openxmlformats.org/officeDocument/2006/relationships/hyperlink" Target="https://twitter.com/nancy_c813" TargetMode="External"/><Relationship Id="rId113" Type="http://schemas.openxmlformats.org/officeDocument/2006/relationships/hyperlink" Target="https://twitter.com/0xOziK" TargetMode="External"/><Relationship Id="rId234" Type="http://schemas.openxmlformats.org/officeDocument/2006/relationships/hyperlink" Target="https://t.me/centurywhale" TargetMode="External"/><Relationship Id="rId355" Type="http://schemas.openxmlformats.org/officeDocument/2006/relationships/hyperlink" Target="https://x.com/BagCalls" TargetMode="External"/><Relationship Id="rId476" Type="http://schemas.openxmlformats.org/officeDocument/2006/relationships/hyperlink" Target="https://x.com/CryptoLady_M" TargetMode="External"/><Relationship Id="rId112" Type="http://schemas.openxmlformats.org/officeDocument/2006/relationships/hyperlink" Target="https://twitter.com/OrtegasCrypto" TargetMode="External"/><Relationship Id="rId233" Type="http://schemas.openxmlformats.org/officeDocument/2006/relationships/hyperlink" Target="https://t.me/boojaANN" TargetMode="External"/><Relationship Id="rId354" Type="http://schemas.openxmlformats.org/officeDocument/2006/relationships/hyperlink" Target="https://x.com/Ashcryptoreal" TargetMode="External"/><Relationship Id="rId475" Type="http://schemas.openxmlformats.org/officeDocument/2006/relationships/hyperlink" Target="https://twitter.com/Paris13Jeanne" TargetMode="External"/><Relationship Id="rId111" Type="http://schemas.openxmlformats.org/officeDocument/2006/relationships/hyperlink" Target="https://x.com/onderyazici" TargetMode="External"/><Relationship Id="rId232" Type="http://schemas.openxmlformats.org/officeDocument/2006/relationships/hyperlink" Target="https://t.me/bitmansour" TargetMode="External"/><Relationship Id="rId353" Type="http://schemas.openxmlformats.org/officeDocument/2006/relationships/hyperlink" Target="https://t.me/+bVPhgNX5MWRmNDBi" TargetMode="External"/><Relationship Id="rId474" Type="http://schemas.openxmlformats.org/officeDocument/2006/relationships/hyperlink" Target="https://twitter.com/tmel0211" TargetMode="External"/><Relationship Id="rId305" Type="http://schemas.openxmlformats.org/officeDocument/2006/relationships/hyperlink" Target="https://www.youtube.com/c/ihsanAgaz/featured" TargetMode="External"/><Relationship Id="rId426" Type="http://schemas.openxmlformats.org/officeDocument/2006/relationships/hyperlink" Target="https://www.youtube.com/@NoBsCryptoOfficial" TargetMode="External"/><Relationship Id="rId304" Type="http://schemas.openxmlformats.org/officeDocument/2006/relationships/hyperlink" Target="https://www.youtube.com/@GlobalRashid/videos" TargetMode="External"/><Relationship Id="rId425" Type="http://schemas.openxmlformats.org/officeDocument/2006/relationships/hyperlink" Target="https://www.instagram.com/nft.globally/" TargetMode="External"/><Relationship Id="rId303" Type="http://schemas.openxmlformats.org/officeDocument/2006/relationships/hyperlink" Target="https://x.com/GuarEmperor" TargetMode="External"/><Relationship Id="rId424" Type="http://schemas.openxmlformats.org/officeDocument/2006/relationships/hyperlink" Target="https://x.com/deg_ape" TargetMode="External"/><Relationship Id="rId302" Type="http://schemas.openxmlformats.org/officeDocument/2006/relationships/hyperlink" Target="https://www.youtube.com/@EarnWithSapna" TargetMode="External"/><Relationship Id="rId423" Type="http://schemas.openxmlformats.org/officeDocument/2006/relationships/hyperlink" Target="https://www.tiktok.com/@moneycoachvince" TargetMode="External"/><Relationship Id="rId309" Type="http://schemas.openxmlformats.org/officeDocument/2006/relationships/hyperlink" Target="https://x.com/TomketLovers" TargetMode="External"/><Relationship Id="rId308" Type="http://schemas.openxmlformats.org/officeDocument/2006/relationships/hyperlink" Target="https://youtube.com/c/TODAYCRYPTO" TargetMode="External"/><Relationship Id="rId429" Type="http://schemas.openxmlformats.org/officeDocument/2006/relationships/hyperlink" Target="https://x.com/overdose_ai" TargetMode="External"/><Relationship Id="rId307" Type="http://schemas.openxmlformats.org/officeDocument/2006/relationships/hyperlink" Target="https://youtube.com/c/Open4Profit" TargetMode="External"/><Relationship Id="rId428" Type="http://schemas.openxmlformats.org/officeDocument/2006/relationships/hyperlink" Target="https://x.com/okanaksoy54" TargetMode="External"/><Relationship Id="rId306" Type="http://schemas.openxmlformats.org/officeDocument/2006/relationships/hyperlink" Target="https://x.com/KenalKripto" TargetMode="External"/><Relationship Id="rId427" Type="http://schemas.openxmlformats.org/officeDocument/2006/relationships/hyperlink" Target="https://twitter.com/notEezzy" TargetMode="External"/><Relationship Id="rId301" Type="http://schemas.openxmlformats.org/officeDocument/2006/relationships/hyperlink" Target="https://www.youtube.com/@CryptoYug/videos" TargetMode="External"/><Relationship Id="rId422" Type="http://schemas.openxmlformats.org/officeDocument/2006/relationships/hyperlink" Target="https://x.com/milesdeutscher" TargetMode="External"/><Relationship Id="rId300" Type="http://schemas.openxmlformats.org/officeDocument/2006/relationships/hyperlink" Target="https://www.youtube.com/c/cryptokingkeyur" TargetMode="External"/><Relationship Id="rId421" Type="http://schemas.openxmlformats.org/officeDocument/2006/relationships/hyperlink" Target="https://x.com/MichaelSixgods" TargetMode="External"/><Relationship Id="rId420" Type="http://schemas.openxmlformats.org/officeDocument/2006/relationships/hyperlink" Target="https://x.com/MetaGorgonite" TargetMode="External"/><Relationship Id="rId415" Type="http://schemas.openxmlformats.org/officeDocument/2006/relationships/hyperlink" Target="https://x.com/MarioNawfal" TargetMode="External"/><Relationship Id="rId414" Type="http://schemas.openxmlformats.org/officeDocument/2006/relationships/hyperlink" Target="https://x.com/ManLyNFT" TargetMode="External"/><Relationship Id="rId413" Type="http://schemas.openxmlformats.org/officeDocument/2006/relationships/hyperlink" Target="https://t.me/mad_apes_call" TargetMode="External"/><Relationship Id="rId412" Type="http://schemas.openxmlformats.org/officeDocument/2006/relationships/hyperlink" Target="https://x.com/MacnBTC" TargetMode="External"/><Relationship Id="rId419" Type="http://schemas.openxmlformats.org/officeDocument/2006/relationships/hyperlink" Target="https://www.instagram.com/metaculture/" TargetMode="External"/><Relationship Id="rId418" Type="http://schemas.openxmlformats.org/officeDocument/2006/relationships/hyperlink" Target="https://www.tiktok.com/@megbzk" TargetMode="External"/><Relationship Id="rId417" Type="http://schemas.openxmlformats.org/officeDocument/2006/relationships/hyperlink" Target="https://www.tiktok.com/@megbzk" TargetMode="External"/><Relationship Id="rId416" Type="http://schemas.openxmlformats.org/officeDocument/2006/relationships/hyperlink" Target="https://www.tiktok.com/@marvinfavisofficial?lang=fr" TargetMode="External"/><Relationship Id="rId411" Type="http://schemas.openxmlformats.org/officeDocument/2006/relationships/hyperlink" Target="https://x.com/lukebelmar" TargetMode="External"/><Relationship Id="rId410" Type="http://schemas.openxmlformats.org/officeDocument/2006/relationships/hyperlink" Target="https://www.youtube.com/c/CryptoKingg/videos" TargetMode="External"/><Relationship Id="rId206" Type="http://schemas.openxmlformats.org/officeDocument/2006/relationships/hyperlink" Target="https://x.com/CryptoAlexand" TargetMode="External"/><Relationship Id="rId327" Type="http://schemas.openxmlformats.org/officeDocument/2006/relationships/hyperlink" Target="https://www.tiktok.com/@carolinejurado" TargetMode="External"/><Relationship Id="rId448" Type="http://schemas.openxmlformats.org/officeDocument/2006/relationships/hyperlink" Target="https://x.com/Crypto_Alch" TargetMode="External"/><Relationship Id="rId205" Type="http://schemas.openxmlformats.org/officeDocument/2006/relationships/hyperlink" Target="https://www.youtube.com/@KoszaryTradingu" TargetMode="External"/><Relationship Id="rId326" Type="http://schemas.openxmlformats.org/officeDocument/2006/relationships/hyperlink" Target="https://www.instagram.com/caroline_jurado_/" TargetMode="External"/><Relationship Id="rId447" Type="http://schemas.openxmlformats.org/officeDocument/2006/relationships/hyperlink" Target="https://www.instagram.com/stockmarket_times/" TargetMode="External"/><Relationship Id="rId204" Type="http://schemas.openxmlformats.org/officeDocument/2006/relationships/hyperlink" Target="https://www.youtube.com/@JulianCrypto/videos" TargetMode="External"/><Relationship Id="rId325" Type="http://schemas.openxmlformats.org/officeDocument/2006/relationships/hyperlink" Target="https://twitter.com/AlanTradingYT" TargetMode="External"/><Relationship Id="rId446" Type="http://schemas.openxmlformats.org/officeDocument/2006/relationships/hyperlink" Target="https://x.com/Sheldon_Sniper" TargetMode="External"/><Relationship Id="rId203" Type="http://schemas.openxmlformats.org/officeDocument/2006/relationships/hyperlink" Target="https://www.youtube.com/@GotowynaKrypto/videos" TargetMode="External"/><Relationship Id="rId324" Type="http://schemas.openxmlformats.org/officeDocument/2006/relationships/hyperlink" Target="https://www.youtube.com/@AlanTradingYT/videos%60" TargetMode="External"/><Relationship Id="rId445" Type="http://schemas.openxmlformats.org/officeDocument/2006/relationships/hyperlink" Target="https://www.instagram.com/sharecrypto/" TargetMode="External"/><Relationship Id="rId209" Type="http://schemas.openxmlformats.org/officeDocument/2006/relationships/hyperlink" Target="https://x.com/kyudo_krypto" TargetMode="External"/><Relationship Id="rId208" Type="http://schemas.openxmlformats.org/officeDocument/2006/relationships/hyperlink" Target="https://www.youtube.com/c/KryptowalutydlaPocz%C4%85tkuj%C4%85cych/videos" TargetMode="External"/><Relationship Id="rId329" Type="http://schemas.openxmlformats.org/officeDocument/2006/relationships/hyperlink" Target="https://www.youtube.com/c/CryptoFutur/featured" TargetMode="External"/><Relationship Id="rId207" Type="http://schemas.openxmlformats.org/officeDocument/2006/relationships/hyperlink" Target="https://www.youtube.com/@kryptoblogger1227" TargetMode="External"/><Relationship Id="rId328" Type="http://schemas.openxmlformats.org/officeDocument/2006/relationships/hyperlink" Target="https://www.youtube.com/@CharlieSeddine" TargetMode="External"/><Relationship Id="rId449" Type="http://schemas.openxmlformats.org/officeDocument/2006/relationships/hyperlink" Target="https://www.youtube.com/@TheHouseOfCrypto/videos" TargetMode="External"/><Relationship Id="rId440" Type="http://schemas.openxmlformats.org/officeDocument/2006/relationships/hyperlink" Target="https://twitter.com/rutradebtc" TargetMode="External"/><Relationship Id="rId202" Type="http://schemas.openxmlformats.org/officeDocument/2006/relationships/hyperlink" Target="https://www.youtube.com/@FxMag" TargetMode="External"/><Relationship Id="rId323" Type="http://schemas.openxmlformats.org/officeDocument/2006/relationships/hyperlink" Target="https://www.youtube.com/watch?v=n0uSGBbD57U" TargetMode="External"/><Relationship Id="rId444" Type="http://schemas.openxmlformats.org/officeDocument/2006/relationships/hyperlink" Target="https://x.com/scottmelker" TargetMode="External"/><Relationship Id="rId201" Type="http://schemas.openxmlformats.org/officeDocument/2006/relationships/hyperlink" Target="https://x.com/DEXLaboratory4" TargetMode="External"/><Relationship Id="rId322" Type="http://schemas.openxmlformats.org/officeDocument/2006/relationships/hyperlink" Target="https://www.youtube.com/@MonetenDave/videos" TargetMode="External"/><Relationship Id="rId443" Type="http://schemas.openxmlformats.org/officeDocument/2006/relationships/hyperlink" Target="https://www.youtube.com/@satoshistackerarabic3172/videos" TargetMode="External"/><Relationship Id="rId200" Type="http://schemas.openxmlformats.org/officeDocument/2006/relationships/hyperlink" Target="https://www.youtube.com/@CzasToPieniadz/videos" TargetMode="External"/><Relationship Id="rId321" Type="http://schemas.openxmlformats.org/officeDocument/2006/relationships/hyperlink" Target="https://www.youtube.com/@MissCryptoGer/videos" TargetMode="External"/><Relationship Id="rId442" Type="http://schemas.openxmlformats.org/officeDocument/2006/relationships/hyperlink" Target="https://www.tiktok.com/@sarafinance" TargetMode="External"/><Relationship Id="rId320" Type="http://schemas.openxmlformats.org/officeDocument/2006/relationships/hyperlink" Target="https://www.youtube.com/@Krypto_Nightowl/videos" TargetMode="External"/><Relationship Id="rId441" Type="http://schemas.openxmlformats.org/officeDocument/2006/relationships/hyperlink" Target="http://t.me/rutradebtc" TargetMode="External"/><Relationship Id="rId316" Type="http://schemas.openxmlformats.org/officeDocument/2006/relationships/hyperlink" Target="https://www.youtube.com/@CryptoHeroesYT/videos" TargetMode="External"/><Relationship Id="rId437" Type="http://schemas.openxmlformats.org/officeDocument/2006/relationships/hyperlink" Target="https://www.tiktok.com/@real_doomed_crypto" TargetMode="External"/><Relationship Id="rId315" Type="http://schemas.openxmlformats.org/officeDocument/2006/relationships/hyperlink" Target="https://www.youtube.com/@CoinCheckTV" TargetMode="External"/><Relationship Id="rId436" Type="http://schemas.openxmlformats.org/officeDocument/2006/relationships/hyperlink" Target="https://www.youtube.com/@ramyzaycmanyt" TargetMode="External"/><Relationship Id="rId314" Type="http://schemas.openxmlformats.org/officeDocument/2006/relationships/hyperlink" Target="https://www.youtube.com/@Bitcoin2Go" TargetMode="External"/><Relationship Id="rId435" Type="http://schemas.openxmlformats.org/officeDocument/2006/relationships/hyperlink" Target="https://www.tiktok.com/@cryptokang.reviews" TargetMode="External"/><Relationship Id="rId313" Type="http://schemas.openxmlformats.org/officeDocument/2006/relationships/hyperlink" Target="https://x.com/zksrzkshmr" TargetMode="External"/><Relationship Id="rId434" Type="http://schemas.openxmlformats.org/officeDocument/2006/relationships/hyperlink" Target="https://www.instagram.com/cryptokang/" TargetMode="External"/><Relationship Id="rId319" Type="http://schemas.openxmlformats.org/officeDocument/2006/relationships/hyperlink" Target="https://www.youtube.com/@KryptoFaint/videos" TargetMode="External"/><Relationship Id="rId318" Type="http://schemas.openxmlformats.org/officeDocument/2006/relationships/hyperlink" Target="https://www.youtube.com/@FFDK589/videos" TargetMode="External"/><Relationship Id="rId439" Type="http://schemas.openxmlformats.org/officeDocument/2006/relationships/hyperlink" Target="https://x.com/rovercrc" TargetMode="External"/><Relationship Id="rId317" Type="http://schemas.openxmlformats.org/officeDocument/2006/relationships/hyperlink" Target="https://www.youtube.com/c/CryptoTuts/videos" TargetMode="External"/><Relationship Id="rId438" Type="http://schemas.openxmlformats.org/officeDocument/2006/relationships/hyperlink" Target="https://x.com/Route2FI" TargetMode="External"/><Relationship Id="rId312" Type="http://schemas.openxmlformats.org/officeDocument/2006/relationships/hyperlink" Target="https://x.com/yonathandinata" TargetMode="External"/><Relationship Id="rId433" Type="http://schemas.openxmlformats.org/officeDocument/2006/relationships/hyperlink" Target="https://www.instagram.com/joeparys/" TargetMode="External"/><Relationship Id="rId311" Type="http://schemas.openxmlformats.org/officeDocument/2006/relationships/hyperlink" Target="https://x.com/yanzero_" TargetMode="External"/><Relationship Id="rId432" Type="http://schemas.openxmlformats.org/officeDocument/2006/relationships/hyperlink" Target="https://x.com/PixOnChain" TargetMode="External"/><Relationship Id="rId310" Type="http://schemas.openxmlformats.org/officeDocument/2006/relationships/hyperlink" Target="https://www.youtube.com/@WISEADVICEE/videos" TargetMode="External"/><Relationship Id="rId431" Type="http://schemas.openxmlformats.org/officeDocument/2006/relationships/hyperlink" Target="https://x.com/Pentosh1" TargetMode="External"/><Relationship Id="rId430" Type="http://schemas.openxmlformats.org/officeDocument/2006/relationships/hyperlink" Target="http://x.com/fuelke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lKriptoBluel" TargetMode="External"/><Relationship Id="rId2" Type="http://schemas.openxmlformats.org/officeDocument/2006/relationships/hyperlink" Target="https://t.me/theKriptolik" TargetMode="External"/><Relationship Id="rId3" Type="http://schemas.openxmlformats.org/officeDocument/2006/relationships/hyperlink" Target="https://t.me/theKriptolik" TargetMode="External"/><Relationship Id="rId4" Type="http://schemas.openxmlformats.org/officeDocument/2006/relationships/drawing" Target="../drawings/drawing3.xml"/><Relationship Id="rId6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8.33"/>
    <col customWidth="1" min="3" max="3" width="25.44"/>
    <col customWidth="1" hidden="1" min="5" max="5" width="26.56"/>
    <col customWidth="1" min="6" max="6" width="18.89"/>
    <col customWidth="1" min="7" max="7" width="19.56"/>
    <col hidden="1" min="8" max="8" width="11.22"/>
    <col customWidth="1" hidden="1" min="9" max="9" width="29.89"/>
    <col customWidth="1" min="10" max="10" width="18.11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3"/>
      <c r="P1" s="3"/>
    </row>
    <row r="2">
      <c r="A2" s="1"/>
      <c r="B2" s="1"/>
      <c r="C2" s="2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3"/>
      <c r="P2" s="3"/>
    </row>
    <row r="3">
      <c r="A3" s="1"/>
      <c r="B3" s="1"/>
      <c r="C3" s="2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3"/>
      <c r="P3" s="3"/>
    </row>
    <row r="4">
      <c r="A4" s="1"/>
      <c r="B4" s="1"/>
      <c r="C4" s="2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3"/>
      <c r="P4" s="3"/>
    </row>
    <row r="5">
      <c r="A5" s="1"/>
      <c r="B5" s="1"/>
      <c r="C5" s="2"/>
      <c r="D5" s="1"/>
      <c r="E5" s="1"/>
      <c r="F5" s="4"/>
      <c r="G5" s="5" t="s">
        <v>0</v>
      </c>
      <c r="H5" s="1"/>
      <c r="I5" s="1"/>
      <c r="J5" s="1"/>
      <c r="K5" s="3"/>
      <c r="L5" s="3"/>
      <c r="M5" s="3"/>
      <c r="N5" s="3"/>
      <c r="O5" s="3"/>
      <c r="P5" s="3"/>
    </row>
    <row r="6">
      <c r="A6" s="1"/>
      <c r="B6" s="1"/>
      <c r="C6" s="2"/>
      <c r="D6" s="1"/>
      <c r="E6" s="1"/>
      <c r="F6" s="1"/>
      <c r="G6" s="1"/>
      <c r="H6" s="1"/>
      <c r="I6" s="1"/>
      <c r="J6" s="1"/>
      <c r="K6" s="3"/>
      <c r="L6" s="3"/>
      <c r="M6" s="3"/>
      <c r="N6" s="3"/>
      <c r="O6" s="3"/>
      <c r="P6" s="3"/>
    </row>
    <row r="7">
      <c r="A7" s="1"/>
      <c r="B7" s="1"/>
      <c r="C7" s="2"/>
      <c r="D7" s="1"/>
      <c r="E7" s="1"/>
      <c r="F7" s="4"/>
      <c r="G7" s="5" t="s">
        <v>1</v>
      </c>
      <c r="H7" s="4"/>
      <c r="I7" s="4"/>
      <c r="J7" s="4"/>
      <c r="K7" s="3"/>
      <c r="L7" s="3"/>
      <c r="M7" s="3"/>
      <c r="N7" s="3"/>
      <c r="O7" s="3"/>
      <c r="P7" s="3"/>
    </row>
    <row r="8" ht="44.25" customHeight="1">
      <c r="A8" s="1"/>
      <c r="B8" s="1"/>
      <c r="C8" s="2"/>
      <c r="D8" s="1"/>
      <c r="E8" s="1"/>
      <c r="F8" s="4"/>
      <c r="G8" s="4"/>
      <c r="H8" s="4"/>
      <c r="I8" s="4"/>
      <c r="J8" s="4"/>
      <c r="K8" s="6"/>
      <c r="L8" s="3"/>
      <c r="M8" s="3"/>
      <c r="N8" s="3"/>
      <c r="O8" s="3"/>
      <c r="P8" s="3"/>
    </row>
    <row r="9" ht="22.5" customHeight="1">
      <c r="A9" s="7" t="s">
        <v>2</v>
      </c>
      <c r="B9" s="7" t="s">
        <v>3</v>
      </c>
      <c r="C9" s="8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9" t="s">
        <v>9</v>
      </c>
      <c r="I9" s="9" t="s">
        <v>10</v>
      </c>
      <c r="J9" s="8" t="s">
        <v>11</v>
      </c>
      <c r="K9" s="3"/>
      <c r="L9" s="3"/>
      <c r="M9" s="3"/>
      <c r="N9" s="3"/>
      <c r="O9" s="3"/>
      <c r="P9" s="3"/>
    </row>
    <row r="10" ht="22.5" customHeight="1">
      <c r="A10" s="10" t="s">
        <v>12</v>
      </c>
      <c r="B10" s="11" t="s">
        <v>13</v>
      </c>
      <c r="C10" s="12" t="s">
        <v>14</v>
      </c>
      <c r="D10" s="10"/>
      <c r="E10" s="13">
        <v>1035.0</v>
      </c>
      <c r="G10" s="14"/>
      <c r="H10" s="15" t="s">
        <v>15</v>
      </c>
      <c r="J10" s="16"/>
      <c r="K10" s="3"/>
      <c r="L10" s="3"/>
      <c r="M10" s="3"/>
      <c r="N10" s="3"/>
      <c r="O10" s="3"/>
      <c r="P10" s="3"/>
    </row>
    <row r="11" ht="22.5" customHeight="1">
      <c r="A11" s="17" t="s">
        <v>12</v>
      </c>
      <c r="B11" s="18" t="s">
        <v>16</v>
      </c>
      <c r="C11" s="19" t="s">
        <v>17</v>
      </c>
      <c r="D11" s="10"/>
      <c r="E11" s="20">
        <v>8900.0</v>
      </c>
      <c r="F11" s="21"/>
      <c r="G11" s="22"/>
      <c r="H11" s="16"/>
      <c r="I11" s="10" t="s">
        <v>18</v>
      </c>
      <c r="J11" s="16"/>
      <c r="K11" s="3"/>
      <c r="L11" s="3"/>
      <c r="M11" s="3"/>
      <c r="N11" s="3"/>
      <c r="O11" s="3"/>
      <c r="P11" s="3"/>
    </row>
    <row r="12" ht="22.5" customHeight="1">
      <c r="A12" s="10" t="s">
        <v>12</v>
      </c>
      <c r="B12" s="11" t="s">
        <v>19</v>
      </c>
      <c r="C12" s="12" t="s">
        <v>17</v>
      </c>
      <c r="D12" s="10"/>
      <c r="E12" s="13">
        <v>1380.0</v>
      </c>
      <c r="G12" s="14"/>
      <c r="H12" s="15" t="s">
        <v>15</v>
      </c>
      <c r="J12" s="16"/>
      <c r="K12" s="3"/>
      <c r="L12" s="3"/>
      <c r="M12" s="3"/>
      <c r="N12" s="3"/>
      <c r="O12" s="3"/>
      <c r="P12" s="3"/>
    </row>
    <row r="13" ht="22.5" customHeight="1">
      <c r="A13" s="17" t="s">
        <v>12</v>
      </c>
      <c r="B13" s="18" t="s">
        <v>20</v>
      </c>
      <c r="C13" s="19" t="s">
        <v>17</v>
      </c>
      <c r="D13" s="10"/>
      <c r="E13" s="20">
        <v>575.0</v>
      </c>
      <c r="F13" s="21"/>
      <c r="G13" s="22"/>
      <c r="H13" s="10" t="s">
        <v>21</v>
      </c>
      <c r="I13" s="10"/>
      <c r="J13" s="16"/>
      <c r="K13" s="3"/>
      <c r="L13" s="3"/>
      <c r="M13" s="3"/>
      <c r="N13" s="3"/>
      <c r="O13" s="3"/>
      <c r="P13" s="3"/>
    </row>
    <row r="14" ht="22.5" customHeight="1">
      <c r="A14" s="23" t="s">
        <v>12</v>
      </c>
      <c r="B14" s="24" t="s">
        <v>22</v>
      </c>
      <c r="C14" s="19" t="s">
        <v>23</v>
      </c>
      <c r="D14" s="10"/>
      <c r="E14" s="25">
        <v>2150.0</v>
      </c>
      <c r="F14" s="23"/>
      <c r="G14" s="22"/>
      <c r="H14" s="16"/>
      <c r="I14" s="16"/>
      <c r="J14" s="16"/>
      <c r="K14" s="3"/>
      <c r="L14" s="3"/>
      <c r="M14" s="3"/>
      <c r="N14" s="3"/>
      <c r="O14" s="3"/>
      <c r="P14" s="3"/>
    </row>
    <row r="15" ht="22.5" customHeight="1">
      <c r="A15" s="17" t="s">
        <v>12</v>
      </c>
      <c r="B15" s="18" t="s">
        <v>24</v>
      </c>
      <c r="C15" s="19" t="s">
        <v>17</v>
      </c>
      <c r="D15" s="10"/>
      <c r="E15" s="20">
        <v>1700.0</v>
      </c>
      <c r="F15" s="21"/>
      <c r="G15" s="22"/>
      <c r="H15" s="10" t="s">
        <v>21</v>
      </c>
      <c r="I15" s="16"/>
      <c r="J15" s="16"/>
      <c r="K15" s="3"/>
      <c r="L15" s="3"/>
      <c r="M15" s="3"/>
      <c r="N15" s="3"/>
      <c r="O15" s="3"/>
      <c r="P15" s="3"/>
    </row>
    <row r="16" ht="22.5" customHeight="1">
      <c r="A16" s="26" t="s">
        <v>12</v>
      </c>
      <c r="B16" s="27" t="s">
        <v>25</v>
      </c>
      <c r="C16" s="19" t="s">
        <v>26</v>
      </c>
      <c r="D16" s="10"/>
      <c r="E16" s="20">
        <v>1725.0</v>
      </c>
      <c r="F16" s="23"/>
      <c r="G16" s="22"/>
      <c r="H16" s="10" t="s">
        <v>21</v>
      </c>
      <c r="I16" s="10" t="s">
        <v>27</v>
      </c>
      <c r="J16" s="16"/>
      <c r="K16" s="3"/>
      <c r="L16" s="3"/>
      <c r="M16" s="3"/>
      <c r="N16" s="3"/>
      <c r="O16" s="3"/>
      <c r="P16" s="3"/>
    </row>
    <row r="17" ht="22.5" customHeight="1">
      <c r="A17" s="10" t="s">
        <v>12</v>
      </c>
      <c r="B17" s="11" t="s">
        <v>28</v>
      </c>
      <c r="C17" s="12" t="s">
        <v>17</v>
      </c>
      <c r="D17" s="10"/>
      <c r="E17" s="13">
        <v>7000.0</v>
      </c>
      <c r="G17" s="22"/>
      <c r="H17" s="10" t="s">
        <v>15</v>
      </c>
      <c r="I17" s="10" t="s">
        <v>27</v>
      </c>
      <c r="J17" s="28"/>
      <c r="K17" s="3"/>
      <c r="L17" s="3"/>
      <c r="M17" s="3"/>
      <c r="N17" s="3"/>
      <c r="O17" s="3"/>
      <c r="P17" s="3"/>
    </row>
    <row r="18" ht="22.5" customHeight="1">
      <c r="A18" s="10" t="s">
        <v>12</v>
      </c>
      <c r="B18" s="11" t="s">
        <v>29</v>
      </c>
      <c r="C18" s="12" t="s">
        <v>17</v>
      </c>
      <c r="D18" s="10"/>
      <c r="E18" s="13">
        <v>1760.0</v>
      </c>
      <c r="G18" s="22"/>
      <c r="H18" s="10" t="s">
        <v>15</v>
      </c>
      <c r="I18" s="10" t="s">
        <v>30</v>
      </c>
      <c r="J18" s="28"/>
      <c r="K18" s="3"/>
      <c r="L18" s="3"/>
      <c r="M18" s="3"/>
      <c r="N18" s="3"/>
      <c r="O18" s="3"/>
      <c r="P18" s="3"/>
    </row>
    <row r="19" ht="22.5" customHeight="1">
      <c r="A19" s="10" t="s">
        <v>12</v>
      </c>
      <c r="B19" s="11" t="s">
        <v>31</v>
      </c>
      <c r="C19" s="12" t="s">
        <v>32</v>
      </c>
      <c r="D19" s="10"/>
      <c r="E19" s="13">
        <v>1700.0</v>
      </c>
      <c r="G19" s="29"/>
      <c r="H19" s="10" t="s">
        <v>15</v>
      </c>
      <c r="I19" s="10" t="s">
        <v>27</v>
      </c>
      <c r="J19" s="10"/>
      <c r="K19" s="3"/>
      <c r="L19" s="3"/>
      <c r="M19" s="3"/>
      <c r="N19" s="3"/>
      <c r="O19" s="3"/>
      <c r="P19" s="3"/>
    </row>
    <row r="20" ht="22.5" customHeight="1">
      <c r="A20" s="10" t="s">
        <v>12</v>
      </c>
      <c r="B20" s="11" t="s">
        <v>33</v>
      </c>
      <c r="C20" s="19" t="s">
        <v>17</v>
      </c>
      <c r="D20" s="10"/>
      <c r="E20" s="13">
        <v>1900.0</v>
      </c>
      <c r="F20" s="10"/>
      <c r="G20" s="29"/>
      <c r="H20" s="10" t="s">
        <v>34</v>
      </c>
      <c r="I20" s="10" t="s">
        <v>35</v>
      </c>
      <c r="J20" s="28"/>
      <c r="K20" s="3"/>
      <c r="L20" s="3"/>
      <c r="M20" s="3"/>
      <c r="N20" s="3"/>
      <c r="O20" s="3"/>
      <c r="P20" s="3"/>
    </row>
    <row r="21" ht="22.5" customHeight="1">
      <c r="A21" s="10" t="s">
        <v>12</v>
      </c>
      <c r="B21" s="11" t="s">
        <v>36</v>
      </c>
      <c r="C21" s="12" t="s">
        <v>37</v>
      </c>
      <c r="D21" s="10"/>
      <c r="E21" s="13">
        <v>690.0</v>
      </c>
      <c r="G21" s="29"/>
      <c r="H21" s="10" t="s">
        <v>15</v>
      </c>
      <c r="I21" s="10" t="s">
        <v>38</v>
      </c>
      <c r="J21" s="28"/>
      <c r="K21" s="3"/>
      <c r="L21" s="3"/>
      <c r="M21" s="3"/>
      <c r="N21" s="3"/>
      <c r="O21" s="3"/>
      <c r="P21" s="3"/>
    </row>
    <row r="22" ht="22.5" customHeight="1">
      <c r="A22" s="10" t="s">
        <v>12</v>
      </c>
      <c r="B22" s="11" t="s">
        <v>39</v>
      </c>
      <c r="C22" s="12" t="s">
        <v>40</v>
      </c>
      <c r="D22" s="10"/>
      <c r="E22" s="13">
        <v>5200.0</v>
      </c>
      <c r="G22" s="22"/>
      <c r="H22" s="10" t="s">
        <v>15</v>
      </c>
      <c r="I22" s="10" t="s">
        <v>27</v>
      </c>
      <c r="J22" s="28"/>
      <c r="K22" s="3"/>
      <c r="L22" s="3"/>
      <c r="M22" s="3"/>
      <c r="N22" s="3"/>
      <c r="O22" s="3"/>
      <c r="P22" s="3"/>
    </row>
    <row r="23" ht="22.5" customHeight="1">
      <c r="A23" s="17" t="s">
        <v>12</v>
      </c>
      <c r="B23" s="18" t="s">
        <v>41</v>
      </c>
      <c r="C23" s="19" t="s">
        <v>23</v>
      </c>
      <c r="D23" s="10"/>
      <c r="E23" s="20">
        <v>920.0</v>
      </c>
      <c r="F23" s="21"/>
      <c r="G23" s="29"/>
      <c r="H23" s="10" t="s">
        <v>21</v>
      </c>
      <c r="I23" s="16"/>
      <c r="J23" s="16"/>
      <c r="K23" s="3"/>
      <c r="L23" s="3"/>
      <c r="M23" s="3"/>
      <c r="N23" s="3"/>
      <c r="O23" s="3"/>
      <c r="P23" s="3"/>
    </row>
    <row r="24" ht="22.5" customHeight="1">
      <c r="A24" s="10" t="s">
        <v>12</v>
      </c>
      <c r="B24" s="11" t="s">
        <v>42</v>
      </c>
      <c r="C24" s="12" t="s">
        <v>17</v>
      </c>
      <c r="D24" s="10"/>
      <c r="E24" s="13">
        <v>680.0</v>
      </c>
      <c r="G24" s="22"/>
      <c r="H24" s="10" t="s">
        <v>15</v>
      </c>
      <c r="I24" s="10" t="s">
        <v>43</v>
      </c>
      <c r="J24" s="28"/>
      <c r="K24" s="3"/>
      <c r="L24" s="3"/>
      <c r="M24" s="3"/>
      <c r="N24" s="3"/>
      <c r="O24" s="3"/>
      <c r="P24" s="3"/>
    </row>
    <row r="25" ht="22.5" customHeight="1">
      <c r="A25" s="10" t="s">
        <v>12</v>
      </c>
      <c r="B25" s="11" t="s">
        <v>44</v>
      </c>
      <c r="C25" s="12" t="s">
        <v>17</v>
      </c>
      <c r="D25" s="10"/>
      <c r="E25" s="13">
        <v>7300.0</v>
      </c>
      <c r="G25" s="29"/>
      <c r="H25" s="10" t="s">
        <v>15</v>
      </c>
      <c r="I25" s="10" t="s">
        <v>27</v>
      </c>
      <c r="J25" s="28"/>
      <c r="K25" s="3"/>
      <c r="L25" s="3"/>
      <c r="M25" s="3"/>
      <c r="N25" s="3"/>
      <c r="O25" s="3"/>
      <c r="P25" s="3"/>
    </row>
    <row r="26" ht="22.5" customHeight="1">
      <c r="A26" s="10" t="s">
        <v>12</v>
      </c>
      <c r="B26" s="11" t="s">
        <v>45</v>
      </c>
      <c r="C26" s="12" t="s">
        <v>17</v>
      </c>
      <c r="D26" s="10"/>
      <c r="E26" s="13">
        <v>1100.0</v>
      </c>
      <c r="G26" s="22"/>
      <c r="H26" s="10" t="s">
        <v>15</v>
      </c>
      <c r="I26" s="10" t="s">
        <v>27</v>
      </c>
      <c r="J26" s="28"/>
      <c r="K26" s="3"/>
      <c r="L26" s="3"/>
      <c r="M26" s="3"/>
      <c r="N26" s="3"/>
      <c r="O26" s="3"/>
      <c r="P26" s="3"/>
    </row>
    <row r="27" ht="22.5" customHeight="1">
      <c r="A27" s="17" t="s">
        <v>12</v>
      </c>
      <c r="B27" s="30" t="s">
        <v>46</v>
      </c>
      <c r="C27" s="19" t="s">
        <v>23</v>
      </c>
      <c r="D27" s="10"/>
      <c r="E27" s="31">
        <v>345.0</v>
      </c>
      <c r="F27" s="21"/>
      <c r="G27" s="29"/>
      <c r="H27" s="10" t="s">
        <v>21</v>
      </c>
      <c r="I27" s="16"/>
      <c r="J27" s="16"/>
      <c r="K27" s="3"/>
      <c r="L27" s="3"/>
      <c r="M27" s="3"/>
      <c r="N27" s="6"/>
      <c r="O27" s="3"/>
      <c r="P27" s="3"/>
    </row>
    <row r="28" ht="22.5" customHeight="1">
      <c r="A28" s="26" t="s">
        <v>12</v>
      </c>
      <c r="B28" s="27" t="s">
        <v>47</v>
      </c>
      <c r="C28" s="19" t="s">
        <v>17</v>
      </c>
      <c r="D28" s="10"/>
      <c r="E28" s="20">
        <v>8900.0</v>
      </c>
      <c r="F28" s="23"/>
      <c r="G28" s="22"/>
      <c r="H28" s="10"/>
      <c r="I28" s="10"/>
      <c r="J28" s="16"/>
      <c r="K28" s="3"/>
      <c r="L28" s="3"/>
      <c r="M28" s="3"/>
      <c r="N28" s="3"/>
      <c r="O28" s="3"/>
      <c r="P28" s="3"/>
    </row>
    <row r="29" ht="22.5" customHeight="1">
      <c r="A29" s="10" t="s">
        <v>12</v>
      </c>
      <c r="B29" s="11" t="s">
        <v>48</v>
      </c>
      <c r="C29" s="12" t="s">
        <v>17</v>
      </c>
      <c r="D29" s="10"/>
      <c r="E29" s="13">
        <v>2750.0</v>
      </c>
      <c r="G29" s="29"/>
      <c r="H29" s="10" t="s">
        <v>15</v>
      </c>
      <c r="I29" s="10" t="s">
        <v>49</v>
      </c>
      <c r="J29" s="28"/>
      <c r="K29" s="3"/>
      <c r="L29" s="3"/>
      <c r="M29" s="3"/>
      <c r="N29" s="3"/>
      <c r="O29" s="3"/>
      <c r="P29" s="3"/>
    </row>
    <row r="30" ht="22.5" customHeight="1">
      <c r="A30" s="26" t="s">
        <v>12</v>
      </c>
      <c r="B30" s="27" t="s">
        <v>50</v>
      </c>
      <c r="C30" s="19" t="s">
        <v>23</v>
      </c>
      <c r="D30" s="10"/>
      <c r="E30" s="20">
        <v>2200.0</v>
      </c>
      <c r="F30" s="23"/>
      <c r="G30" s="29"/>
      <c r="H30" s="10" t="s">
        <v>21</v>
      </c>
      <c r="I30" s="16"/>
      <c r="J30" s="16"/>
      <c r="K30" s="3"/>
      <c r="L30" s="3"/>
      <c r="M30" s="3"/>
      <c r="N30" s="3"/>
      <c r="O30" s="3"/>
      <c r="P30" s="3"/>
    </row>
    <row r="31" ht="22.5" customHeight="1">
      <c r="A31" s="21" t="s">
        <v>12</v>
      </c>
      <c r="B31" s="32" t="s">
        <v>51</v>
      </c>
      <c r="C31" s="33" t="s">
        <v>23</v>
      </c>
      <c r="D31" s="10"/>
      <c r="E31" s="25">
        <v>3000.0</v>
      </c>
      <c r="F31" s="21"/>
      <c r="G31" s="29"/>
      <c r="H31" s="16"/>
      <c r="I31" s="16"/>
      <c r="J31" s="16"/>
      <c r="K31" s="3"/>
      <c r="L31" s="3"/>
      <c r="M31" s="3"/>
      <c r="N31" s="3"/>
      <c r="O31" s="3"/>
      <c r="P31" s="3"/>
    </row>
    <row r="32" ht="22.5" customHeight="1">
      <c r="A32" s="10" t="s">
        <v>12</v>
      </c>
      <c r="B32" s="11" t="s">
        <v>52</v>
      </c>
      <c r="C32" s="12" t="s">
        <v>53</v>
      </c>
      <c r="D32" s="10"/>
      <c r="E32" s="13">
        <v>1500.0</v>
      </c>
      <c r="G32" s="22"/>
      <c r="H32" s="10" t="s">
        <v>15</v>
      </c>
      <c r="I32" s="10" t="s">
        <v>27</v>
      </c>
      <c r="J32" s="28"/>
      <c r="K32" s="3"/>
      <c r="L32" s="3"/>
      <c r="M32" s="3"/>
      <c r="N32" s="3"/>
      <c r="O32" s="3"/>
      <c r="P32" s="3"/>
    </row>
    <row r="33" ht="22.5" customHeight="1">
      <c r="A33" s="10" t="s">
        <v>12</v>
      </c>
      <c r="B33" s="11" t="s">
        <v>54</v>
      </c>
      <c r="C33" s="12" t="s">
        <v>17</v>
      </c>
      <c r="D33" s="10"/>
      <c r="E33" s="13">
        <v>6325.0</v>
      </c>
      <c r="G33" s="29"/>
      <c r="H33" s="10" t="s">
        <v>15</v>
      </c>
      <c r="I33" s="10"/>
      <c r="J33" s="28"/>
      <c r="K33" s="3"/>
      <c r="L33" s="3"/>
      <c r="M33" s="3"/>
      <c r="N33" s="3"/>
      <c r="O33" s="3"/>
      <c r="P33" s="6"/>
    </row>
    <row r="34" ht="22.5" customHeight="1">
      <c r="A34" s="10" t="s">
        <v>12</v>
      </c>
      <c r="B34" s="11" t="s">
        <v>55</v>
      </c>
      <c r="C34" s="34" t="s">
        <v>17</v>
      </c>
      <c r="D34" s="10"/>
      <c r="E34" s="13">
        <v>27000.0</v>
      </c>
      <c r="G34" s="29"/>
      <c r="H34" s="10" t="s">
        <v>15</v>
      </c>
      <c r="I34" s="10" t="s">
        <v>27</v>
      </c>
      <c r="J34" s="28"/>
      <c r="K34" s="3"/>
      <c r="L34" s="3"/>
      <c r="M34" s="3"/>
      <c r="N34" s="3"/>
      <c r="O34" s="3"/>
      <c r="P34" s="3"/>
    </row>
    <row r="35" ht="22.5" customHeight="1">
      <c r="A35" s="10" t="s">
        <v>12</v>
      </c>
      <c r="B35" s="18" t="s">
        <v>56</v>
      </c>
      <c r="C35" s="35" t="s">
        <v>17</v>
      </c>
      <c r="D35" s="10"/>
      <c r="E35" s="36"/>
      <c r="F35" s="21"/>
      <c r="G35" s="22"/>
      <c r="H35" s="16"/>
      <c r="I35" s="16"/>
      <c r="J35" s="16"/>
      <c r="K35" s="3"/>
      <c r="L35" s="3"/>
      <c r="M35" s="3"/>
      <c r="N35" s="3"/>
      <c r="O35" s="3"/>
      <c r="P35" s="3"/>
    </row>
    <row r="36" ht="22.5" customHeight="1">
      <c r="A36" s="26" t="s">
        <v>12</v>
      </c>
      <c r="B36" s="24" t="s">
        <v>57</v>
      </c>
      <c r="C36" s="19" t="s">
        <v>23</v>
      </c>
      <c r="D36" s="10"/>
      <c r="E36" s="31">
        <v>2200.0</v>
      </c>
      <c r="F36" s="23"/>
      <c r="G36" s="29"/>
      <c r="H36" s="10" t="s">
        <v>21</v>
      </c>
      <c r="I36" s="16"/>
      <c r="J36" s="16"/>
      <c r="K36" s="3"/>
      <c r="L36" s="3"/>
      <c r="M36" s="3"/>
      <c r="N36" s="3"/>
      <c r="O36" s="3"/>
      <c r="P36" s="3"/>
    </row>
    <row r="37" ht="22.5" customHeight="1">
      <c r="A37" s="10" t="s">
        <v>12</v>
      </c>
      <c r="B37" s="11" t="s">
        <v>58</v>
      </c>
      <c r="C37" s="12" t="s">
        <v>17</v>
      </c>
      <c r="D37" s="10"/>
      <c r="E37" s="13">
        <v>3300.0</v>
      </c>
      <c r="F37" s="10"/>
      <c r="G37" s="22"/>
      <c r="H37" s="10" t="s">
        <v>34</v>
      </c>
      <c r="I37" s="10" t="s">
        <v>59</v>
      </c>
      <c r="J37" s="28"/>
      <c r="K37" s="3"/>
      <c r="L37" s="3"/>
      <c r="M37" s="3"/>
      <c r="N37" s="3"/>
      <c r="O37" s="3"/>
      <c r="P37" s="3"/>
    </row>
    <row r="38" ht="22.5" customHeight="1">
      <c r="A38" s="23" t="s">
        <v>12</v>
      </c>
      <c r="B38" s="37" t="s">
        <v>60</v>
      </c>
      <c r="C38" s="33" t="s">
        <v>23</v>
      </c>
      <c r="D38" s="10"/>
      <c r="E38" s="25">
        <v>240.0</v>
      </c>
      <c r="F38" s="23"/>
      <c r="G38" s="29"/>
      <c r="H38" s="16"/>
      <c r="I38" s="16"/>
      <c r="J38" s="16"/>
      <c r="K38" s="3"/>
      <c r="L38" s="3"/>
      <c r="M38" s="3"/>
      <c r="N38" s="3"/>
      <c r="O38" s="3"/>
      <c r="P38" s="3"/>
    </row>
    <row r="39" ht="22.5" customHeight="1">
      <c r="A39" s="10" t="s">
        <v>12</v>
      </c>
      <c r="B39" s="11" t="s">
        <v>61</v>
      </c>
      <c r="C39" s="12" t="s">
        <v>17</v>
      </c>
      <c r="D39" s="10"/>
      <c r="E39" s="13">
        <v>2000.0</v>
      </c>
      <c r="G39" s="29"/>
      <c r="H39" s="10" t="s">
        <v>15</v>
      </c>
      <c r="I39" s="10"/>
      <c r="J39" s="28"/>
      <c r="K39" s="3"/>
      <c r="L39" s="3"/>
      <c r="M39" s="3"/>
      <c r="N39" s="3"/>
      <c r="O39" s="3"/>
      <c r="P39" s="3"/>
    </row>
    <row r="40" ht="22.5" customHeight="1">
      <c r="A40" s="23" t="s">
        <v>12</v>
      </c>
      <c r="B40" s="37" t="s">
        <v>61</v>
      </c>
      <c r="C40" s="33" t="s">
        <v>23</v>
      </c>
      <c r="D40" s="10"/>
      <c r="E40" s="25">
        <v>600.0</v>
      </c>
      <c r="F40" s="23"/>
      <c r="G40" s="29"/>
      <c r="H40" s="16"/>
      <c r="I40" s="16"/>
      <c r="J40" s="16"/>
      <c r="K40" s="3"/>
      <c r="L40" s="3"/>
      <c r="M40" s="3"/>
      <c r="N40" s="3"/>
      <c r="O40" s="3"/>
      <c r="P40" s="3"/>
    </row>
    <row r="41" ht="22.5" customHeight="1">
      <c r="A41" s="17" t="s">
        <v>12</v>
      </c>
      <c r="B41" s="18" t="s">
        <v>62</v>
      </c>
      <c r="C41" s="19" t="s">
        <v>23</v>
      </c>
      <c r="D41" s="10"/>
      <c r="E41" s="20">
        <v>750.0</v>
      </c>
      <c r="F41" s="21"/>
      <c r="G41" s="29"/>
      <c r="H41" s="10" t="s">
        <v>21</v>
      </c>
      <c r="I41" s="16"/>
      <c r="J41" s="16"/>
      <c r="K41" s="3"/>
      <c r="L41" s="3"/>
      <c r="M41" s="3"/>
      <c r="N41" s="3"/>
      <c r="O41" s="3"/>
      <c r="P41" s="3"/>
    </row>
    <row r="42" ht="22.5" customHeight="1">
      <c r="A42" s="10" t="s">
        <v>12</v>
      </c>
      <c r="B42" s="11" t="s">
        <v>63</v>
      </c>
      <c r="C42" s="12" t="s">
        <v>64</v>
      </c>
      <c r="D42" s="10"/>
      <c r="E42" s="13">
        <v>2500.0</v>
      </c>
      <c r="G42" s="29"/>
      <c r="H42" s="10" t="s">
        <v>15</v>
      </c>
      <c r="I42" s="10" t="s">
        <v>27</v>
      </c>
      <c r="J42" s="28"/>
      <c r="K42" s="3"/>
      <c r="L42" s="3"/>
      <c r="M42" s="3"/>
      <c r="N42" s="3"/>
      <c r="O42" s="3"/>
      <c r="P42" s="3"/>
    </row>
    <row r="43" ht="22.5" customHeight="1">
      <c r="A43" s="21" t="s">
        <v>12</v>
      </c>
      <c r="B43" s="32" t="s">
        <v>65</v>
      </c>
      <c r="C43" s="33" t="s">
        <v>23</v>
      </c>
      <c r="D43" s="10"/>
      <c r="E43" s="36">
        <v>1035.0</v>
      </c>
      <c r="F43" s="21"/>
      <c r="G43" s="29"/>
      <c r="H43" s="16"/>
      <c r="I43" s="16"/>
      <c r="J43" s="16"/>
      <c r="K43" s="3"/>
      <c r="L43" s="3"/>
      <c r="M43" s="3"/>
      <c r="N43" s="3"/>
      <c r="O43" s="3"/>
      <c r="P43" s="3"/>
    </row>
    <row r="44" ht="22.5" customHeight="1">
      <c r="A44" s="23" t="s">
        <v>12</v>
      </c>
      <c r="B44" s="37" t="s">
        <v>66</v>
      </c>
      <c r="C44" s="33" t="s">
        <v>23</v>
      </c>
      <c r="D44" s="10"/>
      <c r="E44" s="36">
        <v>3600.0</v>
      </c>
      <c r="F44" s="23"/>
      <c r="G44" s="29"/>
      <c r="H44" s="16"/>
      <c r="I44" s="16"/>
      <c r="J44" s="16"/>
      <c r="K44" s="3"/>
      <c r="L44" s="3"/>
      <c r="M44" s="3"/>
      <c r="N44" s="3"/>
      <c r="O44" s="3"/>
      <c r="P44" s="3"/>
    </row>
    <row r="45" ht="22.5" customHeight="1">
      <c r="A45" s="10" t="s">
        <v>12</v>
      </c>
      <c r="B45" s="11" t="s">
        <v>67</v>
      </c>
      <c r="C45" s="12" t="s">
        <v>17</v>
      </c>
      <c r="D45" s="10"/>
      <c r="E45" s="13">
        <v>680.0</v>
      </c>
      <c r="G45" s="29"/>
      <c r="H45" s="10" t="s">
        <v>15</v>
      </c>
      <c r="I45" s="10" t="s">
        <v>68</v>
      </c>
      <c r="J45" s="28"/>
      <c r="K45" s="3"/>
      <c r="L45" s="3"/>
      <c r="M45" s="6"/>
      <c r="N45" s="3"/>
      <c r="O45" s="3"/>
      <c r="P45" s="3"/>
    </row>
    <row r="46" ht="22.5" customHeight="1">
      <c r="A46" s="26" t="s">
        <v>12</v>
      </c>
      <c r="B46" s="27" t="s">
        <v>69</v>
      </c>
      <c r="C46" s="19" t="s">
        <v>17</v>
      </c>
      <c r="D46" s="10"/>
      <c r="E46" s="20">
        <v>575.0</v>
      </c>
      <c r="F46" s="23"/>
      <c r="G46" s="22"/>
      <c r="H46" s="10"/>
      <c r="I46" s="10" t="s">
        <v>70</v>
      </c>
      <c r="J46" s="16"/>
      <c r="K46" s="3"/>
      <c r="L46" s="3"/>
      <c r="M46" s="3"/>
      <c r="N46" s="3"/>
      <c r="O46" s="3"/>
      <c r="P46" s="3"/>
    </row>
    <row r="47" ht="22.5" customHeight="1">
      <c r="A47" s="10" t="s">
        <v>12</v>
      </c>
      <c r="B47" s="11" t="s">
        <v>71</v>
      </c>
      <c r="C47" s="12" t="s">
        <v>17</v>
      </c>
      <c r="D47" s="10"/>
      <c r="E47" s="13">
        <v>990.0</v>
      </c>
      <c r="G47" s="29"/>
      <c r="H47" s="10" t="s">
        <v>15</v>
      </c>
      <c r="I47" s="10" t="s">
        <v>27</v>
      </c>
      <c r="J47" s="28"/>
      <c r="K47" s="38"/>
      <c r="L47" s="38"/>
      <c r="M47" s="38"/>
      <c r="N47" s="38"/>
      <c r="O47" s="38"/>
      <c r="P47" s="38"/>
      <c r="Q47" s="39"/>
      <c r="R47" s="39"/>
      <c r="S47" s="39"/>
      <c r="T47" s="39"/>
      <c r="U47" s="39"/>
    </row>
    <row r="48" ht="22.5" customHeight="1">
      <c r="A48" s="26" t="s">
        <v>12</v>
      </c>
      <c r="B48" s="27" t="s">
        <v>72</v>
      </c>
      <c r="C48" s="19" t="s">
        <v>73</v>
      </c>
      <c r="D48" s="10"/>
      <c r="E48" s="20">
        <v>1500.0</v>
      </c>
      <c r="F48" s="23"/>
      <c r="G48" s="22"/>
      <c r="H48" s="10" t="s">
        <v>21</v>
      </c>
      <c r="I48" s="10" t="s">
        <v>74</v>
      </c>
      <c r="J48" s="16"/>
      <c r="K48" s="3"/>
      <c r="L48" s="3"/>
      <c r="M48" s="3"/>
      <c r="N48" s="3"/>
      <c r="O48" s="3"/>
      <c r="P48" s="3"/>
    </row>
    <row r="49" ht="22.5" customHeight="1">
      <c r="A49" s="21" t="s">
        <v>12</v>
      </c>
      <c r="B49" s="32" t="s">
        <v>75</v>
      </c>
      <c r="C49" s="33" t="s">
        <v>23</v>
      </c>
      <c r="D49" s="10"/>
      <c r="E49" s="25">
        <v>2200.0</v>
      </c>
      <c r="F49" s="21"/>
      <c r="G49" s="29"/>
      <c r="H49" s="16"/>
      <c r="I49" s="16"/>
      <c r="J49" s="16"/>
      <c r="K49" s="3"/>
      <c r="L49" s="3"/>
      <c r="M49" s="3"/>
      <c r="N49" s="3"/>
      <c r="O49" s="3"/>
      <c r="P49" s="3"/>
    </row>
    <row r="50" ht="22.5" customHeight="1">
      <c r="A50" s="23" t="s">
        <v>12</v>
      </c>
      <c r="B50" s="37" t="s">
        <v>76</v>
      </c>
      <c r="C50" s="33" t="s">
        <v>23</v>
      </c>
      <c r="D50" s="10"/>
      <c r="E50" s="25">
        <v>2600.0</v>
      </c>
      <c r="F50" s="23"/>
      <c r="G50" s="29"/>
      <c r="H50" s="16"/>
      <c r="I50" s="16"/>
      <c r="J50" s="16"/>
      <c r="K50" s="3"/>
      <c r="L50" s="3"/>
      <c r="M50" s="3"/>
      <c r="N50" s="3"/>
      <c r="O50" s="3"/>
      <c r="P50" s="3"/>
    </row>
    <row r="51" ht="22.5" customHeight="1">
      <c r="A51" s="17" t="s">
        <v>12</v>
      </c>
      <c r="B51" s="30" t="s">
        <v>77</v>
      </c>
      <c r="C51" s="19" t="s">
        <v>23</v>
      </c>
      <c r="D51" s="10"/>
      <c r="E51" s="31">
        <v>1800.0</v>
      </c>
      <c r="F51" s="21"/>
      <c r="G51" s="40"/>
      <c r="H51" s="10" t="s">
        <v>15</v>
      </c>
      <c r="I51" s="16"/>
      <c r="J51" s="41"/>
      <c r="K51" s="3"/>
      <c r="L51" s="3"/>
      <c r="M51" s="3"/>
      <c r="N51" s="3"/>
      <c r="O51" s="3"/>
      <c r="P51" s="3"/>
    </row>
    <row r="52" ht="22.5" customHeight="1">
      <c r="A52" s="10" t="s">
        <v>12</v>
      </c>
      <c r="B52" s="11" t="s">
        <v>78</v>
      </c>
      <c r="C52" s="12" t="s">
        <v>79</v>
      </c>
      <c r="D52" s="10"/>
      <c r="E52" s="13">
        <v>180000.0</v>
      </c>
      <c r="F52" s="10"/>
      <c r="G52" s="22"/>
      <c r="H52" s="10" t="s">
        <v>34</v>
      </c>
      <c r="I52" s="10" t="s">
        <v>27</v>
      </c>
      <c r="J52" s="28"/>
      <c r="K52" s="3"/>
      <c r="L52" s="3"/>
      <c r="M52" s="3"/>
      <c r="N52" s="3"/>
      <c r="O52" s="3"/>
      <c r="P52" s="3"/>
    </row>
    <row r="53" ht="22.5" customHeight="1">
      <c r="A53" s="15" t="s">
        <v>12</v>
      </c>
      <c r="B53" s="42" t="s">
        <v>80</v>
      </c>
      <c r="C53" s="12" t="s">
        <v>81</v>
      </c>
      <c r="D53" s="10"/>
      <c r="E53" s="13">
        <v>2750.0</v>
      </c>
      <c r="G53" s="14"/>
      <c r="H53" s="15" t="s">
        <v>34</v>
      </c>
      <c r="I53" s="15" t="s">
        <v>82</v>
      </c>
      <c r="J53" s="16"/>
      <c r="K53" s="3"/>
      <c r="L53" s="3"/>
      <c r="M53" s="3"/>
      <c r="N53" s="3"/>
      <c r="O53" s="3"/>
      <c r="P53" s="3"/>
    </row>
    <row r="54" ht="22.5" customHeight="1">
      <c r="A54" s="43" t="s">
        <v>12</v>
      </c>
      <c r="B54" s="44" t="s">
        <v>80</v>
      </c>
      <c r="C54" s="45" t="s">
        <v>23</v>
      </c>
      <c r="D54" s="10"/>
      <c r="E54" s="46">
        <v>3790.0</v>
      </c>
      <c r="F54" s="47"/>
      <c r="G54" s="29"/>
      <c r="H54" s="10"/>
      <c r="I54" s="10"/>
      <c r="J54" s="28"/>
      <c r="K54" s="3"/>
      <c r="L54" s="3"/>
      <c r="M54" s="3"/>
      <c r="N54" s="3"/>
      <c r="O54" s="3"/>
      <c r="P54" s="3"/>
    </row>
    <row r="55" ht="22.5" customHeight="1">
      <c r="A55" s="10"/>
      <c r="B55" s="48"/>
      <c r="C55" s="49"/>
      <c r="D55" s="10"/>
      <c r="E55" s="13"/>
      <c r="G55" s="29"/>
      <c r="H55" s="10"/>
      <c r="I55" s="10"/>
      <c r="J55" s="28"/>
      <c r="K55" s="3"/>
      <c r="L55" s="3"/>
      <c r="M55" s="3"/>
      <c r="N55" s="3"/>
      <c r="O55" s="3"/>
      <c r="P55" s="3"/>
    </row>
    <row r="56" ht="22.5" customHeight="1">
      <c r="A56" s="10"/>
      <c r="B56" s="48"/>
      <c r="C56" s="49"/>
      <c r="D56" s="10"/>
      <c r="E56" s="13"/>
      <c r="G56" s="29"/>
      <c r="H56" s="10"/>
      <c r="I56" s="10"/>
      <c r="J56" s="28"/>
      <c r="K56" s="3"/>
      <c r="L56" s="3"/>
      <c r="M56" s="3"/>
      <c r="N56" s="3"/>
      <c r="O56" s="3"/>
      <c r="P56" s="3"/>
    </row>
    <row r="57" ht="22.5" hidden="1" customHeight="1">
      <c r="A57" s="10" t="s">
        <v>12</v>
      </c>
      <c r="B57" s="11" t="s">
        <v>33</v>
      </c>
      <c r="C57" s="50" t="s">
        <v>17</v>
      </c>
      <c r="D57" s="10">
        <v>1.0</v>
      </c>
      <c r="E57" s="13">
        <v>600.0</v>
      </c>
      <c r="F57" s="10"/>
      <c r="G57" s="29"/>
      <c r="H57" s="10" t="s">
        <v>34</v>
      </c>
      <c r="I57" s="10" t="s">
        <v>35</v>
      </c>
      <c r="J57" s="28"/>
      <c r="K57" s="3"/>
      <c r="L57" s="3"/>
      <c r="M57" s="3"/>
      <c r="N57" s="3"/>
      <c r="O57" s="3"/>
      <c r="P57" s="3"/>
    </row>
    <row r="58" ht="22.5" hidden="1" customHeight="1">
      <c r="A58" s="10" t="s">
        <v>12</v>
      </c>
      <c r="B58" s="11" t="s">
        <v>83</v>
      </c>
      <c r="C58" s="51" t="s">
        <v>84</v>
      </c>
      <c r="D58" s="10">
        <v>2.0</v>
      </c>
      <c r="E58" s="13">
        <v>60000.0</v>
      </c>
      <c r="F58" s="10"/>
      <c r="G58" s="22"/>
      <c r="H58" s="10" t="s">
        <v>34</v>
      </c>
      <c r="I58" s="10"/>
      <c r="J58" s="28"/>
      <c r="K58" s="3"/>
      <c r="L58" s="3"/>
      <c r="M58" s="3"/>
      <c r="N58" s="3"/>
      <c r="O58" s="3"/>
      <c r="P58" s="3"/>
    </row>
    <row r="59" ht="22.5" hidden="1" customHeight="1">
      <c r="A59" s="10" t="s">
        <v>12</v>
      </c>
      <c r="B59" s="11" t="s">
        <v>85</v>
      </c>
      <c r="C59" s="51" t="s">
        <v>86</v>
      </c>
      <c r="D59" s="10">
        <v>2.0</v>
      </c>
      <c r="E59" s="13">
        <v>90000.0</v>
      </c>
      <c r="F59" s="10"/>
      <c r="G59" s="22"/>
      <c r="H59" s="10" t="s">
        <v>34</v>
      </c>
      <c r="I59" s="10" t="s">
        <v>27</v>
      </c>
      <c r="J59" s="28"/>
      <c r="K59" s="3"/>
      <c r="L59" s="3"/>
      <c r="M59" s="3"/>
      <c r="N59" s="3"/>
      <c r="O59" s="3"/>
      <c r="P59" s="3"/>
    </row>
    <row r="60" ht="22.5" hidden="1" customHeight="1">
      <c r="A60" s="10" t="s">
        <v>12</v>
      </c>
      <c r="B60" s="11" t="s">
        <v>87</v>
      </c>
      <c r="C60" s="52" t="s">
        <v>88</v>
      </c>
      <c r="D60" s="10"/>
      <c r="E60" s="13">
        <v>3000.0</v>
      </c>
      <c r="F60" s="10"/>
      <c r="G60" s="22"/>
      <c r="H60" s="10" t="s">
        <v>15</v>
      </c>
      <c r="I60" s="10" t="s">
        <v>27</v>
      </c>
      <c r="J60" s="28"/>
      <c r="K60" s="3"/>
      <c r="L60" s="3"/>
      <c r="M60" s="3"/>
      <c r="N60" s="3"/>
      <c r="O60" s="3"/>
      <c r="P60" s="3"/>
    </row>
    <row r="61" ht="22.5" hidden="1" customHeight="1">
      <c r="A61" s="10"/>
      <c r="B61" s="48"/>
      <c r="C61" s="53"/>
      <c r="D61" s="10"/>
      <c r="E61" s="13"/>
      <c r="F61" s="10"/>
      <c r="G61" s="29"/>
      <c r="H61" s="10"/>
      <c r="I61" s="10"/>
      <c r="J61" s="28"/>
      <c r="K61" s="3"/>
      <c r="L61" s="3"/>
      <c r="M61" s="3"/>
      <c r="N61" s="3"/>
      <c r="O61" s="3"/>
      <c r="P61" s="3"/>
    </row>
    <row r="62" ht="22.5" hidden="1" customHeight="1">
      <c r="A62" s="10"/>
      <c r="B62" s="48"/>
      <c r="C62" s="53"/>
      <c r="D62" s="10"/>
      <c r="E62" s="13"/>
      <c r="F62" s="10"/>
      <c r="G62" s="29"/>
      <c r="H62" s="10"/>
      <c r="I62" s="10"/>
      <c r="J62" s="28"/>
      <c r="K62" s="3"/>
      <c r="L62" s="3"/>
      <c r="M62" s="3"/>
      <c r="N62" s="3"/>
      <c r="O62" s="3"/>
      <c r="P62" s="3"/>
    </row>
    <row r="63" ht="22.5" hidden="1" customHeight="1">
      <c r="A63" s="10"/>
      <c r="B63" s="48"/>
      <c r="C63" s="53"/>
      <c r="D63" s="10"/>
      <c r="E63" s="13"/>
      <c r="F63" s="10"/>
      <c r="G63" s="29"/>
      <c r="H63" s="10"/>
      <c r="I63" s="10"/>
      <c r="J63" s="28"/>
      <c r="K63" s="3"/>
      <c r="L63" s="3"/>
      <c r="M63" s="3"/>
      <c r="N63" s="3"/>
      <c r="O63" s="3"/>
      <c r="P63" s="3"/>
    </row>
    <row r="64" ht="22.5" hidden="1" customHeight="1">
      <c r="A64" s="10"/>
      <c r="B64" s="48"/>
      <c r="C64" s="53"/>
      <c r="D64" s="10"/>
      <c r="E64" s="13"/>
      <c r="F64" s="10"/>
      <c r="G64" s="29"/>
      <c r="H64" s="10"/>
      <c r="I64" s="10"/>
      <c r="J64" s="28"/>
      <c r="K64" s="3"/>
      <c r="L64" s="3"/>
      <c r="M64" s="3"/>
      <c r="N64" s="3"/>
      <c r="O64" s="3"/>
      <c r="P64" s="3"/>
    </row>
    <row r="65" ht="22.5" hidden="1" customHeight="1">
      <c r="A65" s="10"/>
      <c r="B65" s="48"/>
      <c r="C65" s="54"/>
      <c r="D65" s="10"/>
      <c r="E65" s="13"/>
      <c r="F65" s="16"/>
      <c r="G65" s="29"/>
      <c r="H65" s="10"/>
      <c r="I65" s="10"/>
      <c r="J65" s="28"/>
      <c r="K65" s="3"/>
      <c r="L65" s="3"/>
      <c r="M65" s="3"/>
      <c r="N65" s="3"/>
      <c r="O65" s="3"/>
      <c r="P65" s="3"/>
    </row>
    <row r="66" ht="22.5" hidden="1" customHeight="1">
      <c r="A66" s="10"/>
      <c r="B66" s="48"/>
      <c r="C66" s="54"/>
      <c r="D66" s="10"/>
      <c r="E66" s="13"/>
      <c r="F66" s="10"/>
      <c r="G66" s="29"/>
      <c r="H66" s="10"/>
      <c r="I66" s="10"/>
      <c r="J66" s="28"/>
      <c r="K66" s="3"/>
      <c r="L66" s="3"/>
      <c r="M66" s="3"/>
      <c r="N66" s="3"/>
      <c r="O66" s="3"/>
      <c r="P66" s="3"/>
    </row>
    <row r="67" ht="22.5" hidden="1" customHeight="1">
      <c r="A67" s="10"/>
      <c r="B67" s="48"/>
      <c r="C67" s="54"/>
      <c r="D67" s="10"/>
      <c r="E67" s="13"/>
      <c r="F67" s="10"/>
      <c r="G67" s="29"/>
      <c r="H67" s="10"/>
      <c r="I67" s="10"/>
      <c r="J67" s="28"/>
      <c r="K67" s="3"/>
      <c r="L67" s="3"/>
      <c r="M67" s="3"/>
      <c r="N67" s="3"/>
      <c r="O67" s="3"/>
      <c r="P67" s="3"/>
    </row>
    <row r="68" ht="22.5" hidden="1" customHeight="1">
      <c r="A68" s="10"/>
      <c r="B68" s="48"/>
      <c r="C68" s="55"/>
      <c r="D68" s="10"/>
      <c r="E68" s="13"/>
      <c r="F68" s="10"/>
      <c r="G68" s="29"/>
      <c r="H68" s="10"/>
      <c r="I68" s="10"/>
      <c r="J68" s="28"/>
      <c r="K68" s="3"/>
      <c r="L68" s="3"/>
      <c r="M68" s="3"/>
      <c r="N68" s="3"/>
      <c r="O68" s="3"/>
      <c r="P68" s="3"/>
    </row>
    <row r="69" ht="22.5" hidden="1" customHeight="1">
      <c r="A69" s="56"/>
      <c r="B69" s="57"/>
      <c r="C69" s="58"/>
      <c r="D69" s="56"/>
      <c r="E69" s="59"/>
      <c r="F69" s="60"/>
      <c r="G69" s="61"/>
      <c r="H69" s="10"/>
      <c r="I69" s="10"/>
      <c r="J69" s="28"/>
      <c r="K69" s="3"/>
      <c r="L69" s="3"/>
      <c r="M69" s="3"/>
      <c r="N69" s="3"/>
      <c r="O69" s="3"/>
      <c r="P69" s="3"/>
    </row>
    <row r="70" ht="22.5" hidden="1" customHeight="1">
      <c r="A70" s="56"/>
      <c r="B70" s="57"/>
      <c r="C70" s="58"/>
      <c r="D70" s="56"/>
      <c r="E70" s="59"/>
      <c r="F70" s="60"/>
      <c r="G70" s="61"/>
      <c r="H70" s="10"/>
      <c r="I70" s="10"/>
      <c r="J70" s="28"/>
      <c r="K70" s="3"/>
      <c r="L70" s="3"/>
      <c r="M70" s="3"/>
      <c r="N70" s="3"/>
      <c r="O70" s="3"/>
      <c r="P70" s="3"/>
    </row>
    <row r="71" ht="22.5" hidden="1" customHeight="1">
      <c r="A71" s="56"/>
      <c r="B71" s="57"/>
      <c r="C71" s="58"/>
      <c r="D71" s="56"/>
      <c r="E71" s="59"/>
      <c r="F71" s="56"/>
      <c r="G71" s="61"/>
      <c r="H71" s="10"/>
      <c r="I71" s="10"/>
      <c r="J71" s="28"/>
      <c r="K71" s="3"/>
      <c r="L71" s="3"/>
      <c r="M71" s="3"/>
      <c r="N71" s="3"/>
      <c r="O71" s="3"/>
      <c r="P71" s="3"/>
    </row>
    <row r="72" ht="22.5" hidden="1" customHeight="1">
      <c r="A72" s="56"/>
      <c r="B72" s="57"/>
      <c r="C72" s="58"/>
      <c r="D72" s="56"/>
      <c r="E72" s="59"/>
      <c r="F72" s="56"/>
      <c r="G72" s="61"/>
      <c r="H72" s="10"/>
      <c r="I72" s="10"/>
      <c r="J72" s="28"/>
      <c r="K72" s="3"/>
      <c r="L72" s="3"/>
      <c r="M72" s="3"/>
      <c r="N72" s="3"/>
      <c r="O72" s="3"/>
      <c r="P72" s="3"/>
    </row>
    <row r="73" ht="22.5" hidden="1" customHeight="1">
      <c r="A73" s="56"/>
      <c r="B73" s="57"/>
      <c r="C73" s="58"/>
      <c r="D73" s="56"/>
      <c r="E73" s="59"/>
      <c r="F73" s="56"/>
      <c r="G73" s="61"/>
      <c r="H73" s="10"/>
      <c r="I73" s="10"/>
      <c r="J73" s="28"/>
      <c r="K73" s="3"/>
      <c r="L73" s="3"/>
      <c r="M73" s="3"/>
      <c r="N73" s="3"/>
      <c r="O73" s="3"/>
      <c r="P73" s="3"/>
    </row>
    <row r="74" ht="22.5" hidden="1" customHeight="1">
      <c r="A74" s="56"/>
      <c r="B74" s="57"/>
      <c r="C74" s="58"/>
      <c r="D74" s="56"/>
      <c r="E74" s="59"/>
      <c r="F74" s="56"/>
      <c r="G74" s="61"/>
      <c r="H74" s="10"/>
      <c r="I74" s="10"/>
      <c r="J74" s="28"/>
      <c r="K74" s="3"/>
      <c r="L74" s="3"/>
      <c r="M74" s="3"/>
      <c r="N74" s="3"/>
      <c r="O74" s="3"/>
      <c r="P74" s="3"/>
    </row>
    <row r="75" ht="22.5" hidden="1" customHeight="1">
      <c r="A75" s="62"/>
      <c r="B75" s="63"/>
      <c r="C75" s="64"/>
      <c r="D75" s="56"/>
      <c r="E75" s="59"/>
      <c r="F75" s="60"/>
      <c r="G75" s="61"/>
      <c r="H75" s="10"/>
      <c r="I75" s="10"/>
      <c r="J75" s="28"/>
      <c r="K75" s="3"/>
      <c r="L75" s="3"/>
      <c r="M75" s="3"/>
      <c r="N75" s="3"/>
      <c r="O75" s="3"/>
      <c r="P75" s="3"/>
    </row>
    <row r="76" ht="22.5" hidden="1" customHeight="1">
      <c r="A76" s="56"/>
      <c r="B76" s="57"/>
      <c r="C76" s="58"/>
      <c r="D76" s="56"/>
      <c r="E76" s="59"/>
      <c r="F76" s="56"/>
      <c r="G76" s="61"/>
      <c r="H76" s="10"/>
      <c r="I76" s="10"/>
      <c r="J76" s="28"/>
      <c r="K76" s="3"/>
      <c r="L76" s="3"/>
      <c r="M76" s="3"/>
      <c r="N76" s="3"/>
      <c r="O76" s="3"/>
      <c r="P76" s="3"/>
    </row>
    <row r="77" ht="22.5" hidden="1" customHeight="1">
      <c r="A77" s="56"/>
      <c r="B77" s="57"/>
      <c r="C77" s="58"/>
      <c r="D77" s="56"/>
      <c r="E77" s="59"/>
      <c r="F77" s="56"/>
      <c r="G77" s="61"/>
      <c r="H77" s="10"/>
      <c r="I77" s="10"/>
      <c r="J77" s="28"/>
      <c r="K77" s="3"/>
      <c r="L77" s="3"/>
      <c r="M77" s="3"/>
      <c r="N77" s="3"/>
      <c r="O77" s="3"/>
      <c r="P77" s="3"/>
    </row>
    <row r="78" ht="22.5" hidden="1" customHeight="1">
      <c r="A78" s="56"/>
      <c r="B78" s="57"/>
      <c r="C78" s="51"/>
      <c r="D78" s="56"/>
      <c r="E78" s="59"/>
      <c r="F78" s="56"/>
      <c r="G78" s="61"/>
      <c r="H78" s="10"/>
      <c r="I78" s="10"/>
      <c r="J78" s="28"/>
      <c r="K78" s="3"/>
      <c r="L78" s="3"/>
      <c r="M78" s="3"/>
      <c r="N78" s="3"/>
      <c r="O78" s="3"/>
      <c r="P78" s="3"/>
    </row>
    <row r="79" ht="22.5" hidden="1" customHeight="1">
      <c r="A79" s="56"/>
      <c r="B79" s="57"/>
      <c r="C79" s="58"/>
      <c r="D79" s="56"/>
      <c r="E79" s="59"/>
      <c r="F79" s="56"/>
      <c r="G79" s="61"/>
      <c r="H79" s="10"/>
      <c r="I79" s="10"/>
      <c r="J79" s="28"/>
      <c r="K79" s="3"/>
      <c r="L79" s="3"/>
      <c r="M79" s="3"/>
      <c r="N79" s="3"/>
      <c r="O79" s="3"/>
      <c r="P79" s="3"/>
    </row>
    <row r="80" ht="22.5" hidden="1" customHeight="1">
      <c r="A80" s="56"/>
      <c r="B80" s="57"/>
      <c r="C80" s="58"/>
      <c r="D80" s="56"/>
      <c r="E80" s="59"/>
      <c r="F80" s="60"/>
      <c r="G80" s="61"/>
      <c r="H80" s="10"/>
      <c r="I80" s="10"/>
      <c r="J80" s="28"/>
      <c r="K80" s="3"/>
      <c r="L80" s="3"/>
      <c r="M80" s="3"/>
      <c r="N80" s="3"/>
      <c r="O80" s="3"/>
      <c r="P80" s="3"/>
    </row>
    <row r="81" ht="22.5" hidden="1" customHeight="1">
      <c r="A81" s="56"/>
      <c r="B81" s="57"/>
      <c r="C81" s="58"/>
      <c r="D81" s="56"/>
      <c r="E81" s="59"/>
      <c r="F81" s="56"/>
      <c r="G81" s="61"/>
      <c r="H81" s="10"/>
      <c r="I81" s="10"/>
      <c r="J81" s="28"/>
      <c r="K81" s="3"/>
      <c r="L81" s="3"/>
      <c r="M81" s="3"/>
      <c r="N81" s="3"/>
      <c r="O81" s="3"/>
      <c r="P81" s="3"/>
    </row>
    <row r="82" ht="22.5" hidden="1" customHeight="1">
      <c r="A82" s="56"/>
      <c r="B82" s="57"/>
      <c r="C82" s="58"/>
      <c r="D82" s="56"/>
      <c r="E82" s="59"/>
      <c r="F82" s="56"/>
      <c r="G82" s="61"/>
      <c r="H82" s="10"/>
      <c r="I82" s="10"/>
      <c r="J82" s="28"/>
      <c r="K82" s="3"/>
      <c r="L82" s="3"/>
      <c r="M82" s="3"/>
      <c r="N82" s="3"/>
      <c r="O82" s="3"/>
      <c r="P82" s="3"/>
    </row>
    <row r="83" ht="22.5" hidden="1" customHeight="1">
      <c r="A83" s="56"/>
      <c r="B83" s="57"/>
      <c r="C83" s="58"/>
      <c r="D83" s="56"/>
      <c r="E83" s="59"/>
      <c r="F83" s="56"/>
      <c r="G83" s="61"/>
      <c r="H83" s="10"/>
      <c r="I83" s="10"/>
      <c r="J83" s="28"/>
      <c r="K83" s="3"/>
      <c r="L83" s="3"/>
      <c r="M83" s="3"/>
      <c r="N83" s="3"/>
      <c r="O83" s="3"/>
      <c r="P83" s="3"/>
    </row>
    <row r="84" ht="22.5" hidden="1" customHeight="1">
      <c r="A84" s="56"/>
      <c r="B84" s="57"/>
      <c r="C84" s="58"/>
      <c r="D84" s="56"/>
      <c r="E84" s="59"/>
      <c r="F84" s="56"/>
      <c r="G84" s="61"/>
      <c r="H84" s="10"/>
      <c r="I84" s="10"/>
      <c r="J84" s="28"/>
      <c r="K84" s="3"/>
      <c r="L84" s="3"/>
      <c r="M84" s="3"/>
      <c r="N84" s="3"/>
      <c r="O84" s="3"/>
      <c r="P84" s="3"/>
    </row>
    <row r="85" ht="22.5" hidden="1" customHeight="1">
      <c r="A85" s="65"/>
      <c r="B85" s="66"/>
      <c r="C85" s="64"/>
      <c r="D85" s="56"/>
      <c r="E85" s="59"/>
      <c r="F85" s="60"/>
      <c r="G85" s="61"/>
      <c r="H85" s="10"/>
      <c r="I85" s="10"/>
      <c r="J85" s="28"/>
      <c r="K85" s="3"/>
      <c r="L85" s="3"/>
      <c r="M85" s="3"/>
      <c r="N85" s="3"/>
      <c r="O85" s="3"/>
      <c r="P85" s="3"/>
    </row>
    <row r="86" ht="22.5" hidden="1" customHeight="1">
      <c r="A86" s="65"/>
      <c r="B86" s="66"/>
      <c r="C86" s="67"/>
      <c r="D86" s="68"/>
      <c r="E86" s="69"/>
      <c r="F86" s="70"/>
      <c r="G86" s="61"/>
      <c r="H86" s="10"/>
      <c r="I86" s="10"/>
      <c r="J86" s="28"/>
      <c r="K86" s="3"/>
      <c r="L86" s="3"/>
      <c r="M86" s="3"/>
      <c r="N86" s="3"/>
      <c r="O86" s="3"/>
      <c r="P86" s="3"/>
    </row>
    <row r="87" ht="22.5" hidden="1" customHeight="1">
      <c r="A87" s="65"/>
      <c r="B87" s="66"/>
      <c r="C87" s="64"/>
      <c r="D87" s="56"/>
      <c r="E87" s="59"/>
      <c r="F87" s="56"/>
      <c r="G87" s="61"/>
      <c r="H87" s="10"/>
      <c r="I87" s="10"/>
      <c r="J87" s="28"/>
      <c r="K87" s="3"/>
      <c r="L87" s="3"/>
      <c r="M87" s="3"/>
      <c r="N87" s="3"/>
      <c r="O87" s="3"/>
      <c r="P87" s="3"/>
    </row>
    <row r="88" ht="22.5" hidden="1" customHeight="1">
      <c r="A88" s="65"/>
      <c r="B88" s="66"/>
      <c r="C88" s="67"/>
      <c r="D88" s="10"/>
      <c r="E88" s="13"/>
      <c r="F88" s="56"/>
      <c r="G88" s="29"/>
      <c r="H88" s="10"/>
      <c r="I88" s="10"/>
      <c r="J88" s="28"/>
      <c r="K88" s="3"/>
      <c r="L88" s="3"/>
      <c r="M88" s="3"/>
      <c r="N88" s="3"/>
      <c r="O88" s="3"/>
      <c r="P88" s="3"/>
    </row>
    <row r="89" ht="22.5" hidden="1" customHeight="1">
      <c r="A89" s="65"/>
      <c r="B89" s="66"/>
      <c r="C89" s="67"/>
      <c r="D89" s="10"/>
      <c r="E89" s="13"/>
      <c r="F89" s="56"/>
      <c r="G89" s="29"/>
      <c r="H89" s="10"/>
      <c r="I89" s="10"/>
      <c r="J89" s="28"/>
      <c r="K89" s="3"/>
      <c r="L89" s="3"/>
      <c r="M89" s="3"/>
      <c r="N89" s="3"/>
      <c r="O89" s="3"/>
      <c r="P89" s="3"/>
    </row>
    <row r="90" ht="22.5" hidden="1" customHeight="1">
      <c r="A90" s="10"/>
      <c r="B90" s="48"/>
      <c r="C90" s="55"/>
      <c r="D90" s="10"/>
      <c r="E90" s="13"/>
      <c r="F90" s="10"/>
      <c r="G90" s="29"/>
      <c r="H90" s="10"/>
      <c r="I90" s="10"/>
      <c r="J90" s="28"/>
      <c r="K90" s="3"/>
      <c r="L90" s="3"/>
      <c r="M90" s="3"/>
      <c r="N90" s="3"/>
      <c r="O90" s="3"/>
      <c r="P90" s="3"/>
    </row>
    <row r="91" ht="22.5" hidden="1" customHeight="1">
      <c r="A91" s="10"/>
      <c r="B91" s="48"/>
      <c r="C91" s="54"/>
      <c r="D91" s="10"/>
      <c r="E91" s="13"/>
      <c r="F91" s="56"/>
      <c r="G91" s="29"/>
      <c r="H91" s="10"/>
      <c r="I91" s="10"/>
      <c r="J91" s="28"/>
      <c r="K91" s="3"/>
      <c r="L91" s="3"/>
      <c r="M91" s="3"/>
      <c r="N91" s="3"/>
      <c r="O91" s="3"/>
      <c r="P91" s="3"/>
    </row>
    <row r="92" ht="22.5" hidden="1" customHeight="1">
      <c r="A92" s="65"/>
      <c r="B92" s="63"/>
      <c r="C92" s="64"/>
      <c r="D92" s="10"/>
      <c r="E92" s="69"/>
      <c r="F92" s="16"/>
      <c r="G92" s="29"/>
      <c r="H92" s="10"/>
      <c r="I92" s="10"/>
      <c r="J92" s="28"/>
      <c r="K92" s="3"/>
      <c r="L92" s="3"/>
      <c r="M92" s="3"/>
      <c r="N92" s="3"/>
      <c r="O92" s="3"/>
      <c r="P92" s="3"/>
    </row>
    <row r="93" ht="22.5" hidden="1" customHeight="1">
      <c r="A93" s="10"/>
      <c r="B93" s="48"/>
      <c r="C93" s="54"/>
      <c r="D93" s="10"/>
      <c r="E93" s="13"/>
      <c r="F93" s="10"/>
      <c r="G93" s="29"/>
      <c r="H93" s="10"/>
      <c r="I93" s="10"/>
      <c r="J93" s="28"/>
      <c r="K93" s="3"/>
      <c r="L93" s="3"/>
      <c r="M93" s="3"/>
      <c r="N93" s="3"/>
      <c r="O93" s="3"/>
      <c r="P93" s="3"/>
    </row>
    <row r="94" ht="22.5" hidden="1" customHeight="1">
      <c r="A94" s="10"/>
      <c r="B94" s="48"/>
      <c r="C94" s="54"/>
      <c r="D94" s="10"/>
      <c r="E94" s="13"/>
      <c r="F94" s="56"/>
      <c r="G94" s="29"/>
      <c r="H94" s="10"/>
      <c r="I94" s="10"/>
      <c r="J94" s="28"/>
      <c r="K94" s="3"/>
      <c r="L94" s="3"/>
      <c r="M94" s="3"/>
      <c r="N94" s="3"/>
      <c r="O94" s="3"/>
      <c r="P94" s="3"/>
    </row>
    <row r="95" ht="22.5" hidden="1" customHeight="1">
      <c r="A95" s="10"/>
      <c r="B95" s="48"/>
      <c r="C95" s="55"/>
      <c r="D95" s="10"/>
      <c r="E95" s="13"/>
      <c r="F95" s="10"/>
      <c r="G95" s="29"/>
      <c r="H95" s="10"/>
      <c r="I95" s="10"/>
      <c r="J95" s="28"/>
      <c r="K95" s="3"/>
      <c r="L95" s="3"/>
      <c r="M95" s="3"/>
      <c r="N95" s="3"/>
      <c r="O95" s="3"/>
      <c r="P95" s="3"/>
    </row>
    <row r="96" ht="22.5" hidden="1" customHeight="1">
      <c r="A96" s="10"/>
      <c r="B96" s="48"/>
      <c r="C96" s="54"/>
      <c r="D96" s="10"/>
      <c r="E96" s="13"/>
      <c r="F96" s="10"/>
      <c r="G96" s="29"/>
      <c r="H96" s="16"/>
      <c r="I96" s="16"/>
      <c r="J96" s="16"/>
      <c r="K96" s="3"/>
      <c r="L96" s="3"/>
      <c r="M96" s="3"/>
      <c r="N96" s="3"/>
      <c r="O96" s="3"/>
      <c r="P96" s="3"/>
    </row>
    <row r="97" ht="22.5" hidden="1" customHeight="1">
      <c r="A97" s="10"/>
      <c r="B97" s="48"/>
      <c r="C97" s="54"/>
      <c r="D97" s="10"/>
      <c r="E97" s="13"/>
      <c r="F97" s="10"/>
      <c r="G97" s="29"/>
      <c r="H97" s="16"/>
      <c r="I97" s="16"/>
      <c r="J97" s="16"/>
      <c r="K97" s="3"/>
      <c r="L97" s="3"/>
      <c r="M97" s="3"/>
      <c r="N97" s="3"/>
      <c r="O97" s="3"/>
      <c r="P97" s="3"/>
    </row>
    <row r="98" ht="22.5" hidden="1" customHeight="1">
      <c r="A98" s="10"/>
      <c r="B98" s="48"/>
      <c r="C98" s="54"/>
      <c r="D98" s="10"/>
      <c r="E98" s="13"/>
      <c r="F98" s="10"/>
      <c r="G98" s="29"/>
      <c r="H98" s="16"/>
      <c r="I98" s="10"/>
      <c r="J98" s="28"/>
      <c r="K98" s="3"/>
      <c r="L98" s="3"/>
      <c r="M98" s="3"/>
      <c r="N98" s="3"/>
      <c r="O98" s="3"/>
      <c r="P98" s="3"/>
    </row>
    <row r="99" ht="22.5" hidden="1" customHeight="1">
      <c r="A99" s="10"/>
      <c r="B99" s="48"/>
      <c r="C99" s="54"/>
      <c r="D99" s="10"/>
      <c r="E99" s="13"/>
      <c r="F99" s="10"/>
      <c r="G99" s="29"/>
      <c r="H99" s="16"/>
      <c r="I99" s="10"/>
      <c r="J99" s="28"/>
      <c r="K99" s="3"/>
      <c r="L99" s="3"/>
      <c r="M99" s="3"/>
      <c r="N99" s="3"/>
      <c r="O99" s="3"/>
      <c r="P99" s="3"/>
    </row>
    <row r="100" ht="22.5" hidden="1" customHeight="1">
      <c r="A100" s="10"/>
      <c r="B100" s="48"/>
      <c r="C100" s="54"/>
      <c r="D100" s="10"/>
      <c r="E100" s="13"/>
      <c r="F100" s="10"/>
      <c r="G100" s="29"/>
      <c r="H100" s="16"/>
      <c r="I100" s="10"/>
      <c r="J100" s="28"/>
      <c r="K100" s="3"/>
      <c r="L100" s="3"/>
      <c r="M100" s="3"/>
      <c r="N100" s="3"/>
      <c r="O100" s="3"/>
      <c r="P100" s="3"/>
    </row>
    <row r="101" ht="22.5" hidden="1" customHeight="1">
      <c r="A101" s="10"/>
      <c r="B101" s="48"/>
      <c r="C101" s="54"/>
      <c r="D101" s="10"/>
      <c r="E101" s="13"/>
      <c r="F101" s="10"/>
      <c r="G101" s="29"/>
      <c r="H101" s="16"/>
      <c r="I101" s="10"/>
      <c r="J101" s="28"/>
      <c r="K101" s="3"/>
      <c r="L101" s="3"/>
      <c r="M101" s="3"/>
      <c r="N101" s="3"/>
      <c r="O101" s="3"/>
      <c r="P101" s="3"/>
    </row>
    <row r="102" ht="22.5" hidden="1" customHeight="1">
      <c r="A102" s="10"/>
      <c r="B102" s="48"/>
      <c r="C102" s="54"/>
      <c r="D102" s="10"/>
      <c r="E102" s="13"/>
      <c r="F102" s="10"/>
      <c r="G102" s="29"/>
      <c r="H102" s="16"/>
      <c r="I102" s="10"/>
      <c r="J102" s="28"/>
      <c r="K102" s="3"/>
      <c r="L102" s="3"/>
      <c r="M102" s="3"/>
      <c r="N102" s="3"/>
      <c r="O102" s="3"/>
      <c r="P102" s="3"/>
    </row>
    <row r="103" ht="22.5" hidden="1" customHeight="1">
      <c r="A103" s="10"/>
      <c r="B103" s="48"/>
      <c r="C103" s="54"/>
      <c r="D103" s="10"/>
      <c r="E103" s="13"/>
      <c r="F103" s="10"/>
      <c r="G103" s="29"/>
      <c r="H103" s="16"/>
      <c r="I103" s="10"/>
      <c r="J103" s="28"/>
      <c r="K103" s="3"/>
      <c r="L103" s="3"/>
      <c r="M103" s="3"/>
      <c r="N103" s="3"/>
      <c r="O103" s="3"/>
      <c r="P103" s="3"/>
    </row>
    <row r="104" ht="22.5" hidden="1" customHeight="1">
      <c r="A104" s="10"/>
      <c r="B104" s="48"/>
      <c r="C104" s="54"/>
      <c r="D104" s="10"/>
      <c r="E104" s="13"/>
      <c r="F104" s="10"/>
      <c r="G104" s="29"/>
      <c r="H104" s="16"/>
      <c r="I104" s="10"/>
      <c r="J104" s="28"/>
      <c r="K104" s="3"/>
      <c r="L104" s="3"/>
      <c r="M104" s="3"/>
      <c r="N104" s="3"/>
      <c r="O104" s="3"/>
      <c r="P104" s="3"/>
    </row>
    <row r="105" ht="22.5" hidden="1" customHeight="1">
      <c r="A105" s="10"/>
      <c r="B105" s="48"/>
      <c r="C105" s="71"/>
      <c r="D105" s="10"/>
      <c r="E105" s="13"/>
      <c r="F105" s="16"/>
      <c r="G105" s="29"/>
      <c r="H105" s="10"/>
      <c r="I105" s="10"/>
      <c r="J105" s="28"/>
      <c r="K105" s="3"/>
      <c r="L105" s="3"/>
      <c r="M105" s="3"/>
      <c r="N105" s="3"/>
      <c r="O105" s="3"/>
      <c r="P105" s="3"/>
    </row>
    <row r="106" ht="22.5" hidden="1" customHeight="1">
      <c r="A106" s="10"/>
      <c r="B106" s="48"/>
      <c r="C106" s="71"/>
      <c r="D106" s="10"/>
      <c r="E106" s="13"/>
      <c r="F106" s="16"/>
      <c r="G106" s="29"/>
      <c r="H106" s="10"/>
      <c r="I106" s="10"/>
      <c r="J106" s="28"/>
      <c r="K106" s="3"/>
      <c r="L106" s="3"/>
      <c r="M106" s="3"/>
      <c r="N106" s="3"/>
      <c r="O106" s="3"/>
      <c r="P106" s="3"/>
    </row>
    <row r="107" ht="22.5" hidden="1" customHeight="1">
      <c r="A107" s="10"/>
      <c r="B107" s="48"/>
      <c r="C107" s="71"/>
      <c r="D107" s="10"/>
      <c r="E107" s="13"/>
      <c r="F107" s="16"/>
      <c r="G107" s="29"/>
      <c r="H107" s="10"/>
      <c r="I107" s="10"/>
      <c r="J107" s="28"/>
      <c r="K107" s="3"/>
      <c r="L107" s="3"/>
      <c r="M107" s="3"/>
      <c r="N107" s="3"/>
      <c r="O107" s="3"/>
      <c r="P107" s="3"/>
    </row>
    <row r="108" ht="22.5" hidden="1" customHeight="1">
      <c r="A108" s="10"/>
      <c r="B108" s="48"/>
      <c r="C108" s="72"/>
      <c r="D108" s="10"/>
      <c r="E108" s="13"/>
      <c r="F108" s="16"/>
      <c r="G108" s="29"/>
      <c r="H108" s="10"/>
      <c r="I108" s="16"/>
      <c r="J108" s="16"/>
      <c r="K108" s="3"/>
      <c r="L108" s="3"/>
      <c r="M108" s="3"/>
      <c r="N108" s="3"/>
      <c r="O108" s="3"/>
      <c r="P108" s="3"/>
    </row>
    <row r="109" ht="22.5" hidden="1" customHeight="1">
      <c r="A109" s="10"/>
      <c r="B109" s="48"/>
      <c r="C109" s="71"/>
      <c r="D109" s="10"/>
      <c r="E109" s="13"/>
      <c r="F109" s="16"/>
      <c r="G109" s="29"/>
      <c r="H109" s="10"/>
      <c r="I109" s="10"/>
      <c r="J109" s="28"/>
      <c r="K109" s="3"/>
      <c r="L109" s="3"/>
      <c r="M109" s="3"/>
      <c r="N109" s="3"/>
      <c r="O109" s="3"/>
      <c r="P109" s="3"/>
    </row>
    <row r="110" ht="22.5" hidden="1" customHeight="1">
      <c r="A110" s="10"/>
      <c r="B110" s="48"/>
      <c r="C110" s="72"/>
      <c r="D110" s="10"/>
      <c r="E110" s="13"/>
      <c r="F110" s="16"/>
      <c r="G110" s="29"/>
      <c r="H110" s="10"/>
      <c r="I110" s="10"/>
      <c r="J110" s="28"/>
      <c r="K110" s="3"/>
      <c r="L110" s="3"/>
      <c r="M110" s="3"/>
      <c r="N110" s="3"/>
      <c r="O110" s="3"/>
      <c r="P110" s="3"/>
    </row>
    <row r="111" ht="22.5" hidden="1" customHeight="1">
      <c r="A111" s="10"/>
      <c r="B111" s="48"/>
      <c r="C111" s="72"/>
      <c r="D111" s="10"/>
      <c r="E111" s="13"/>
      <c r="F111" s="16"/>
      <c r="G111" s="29"/>
      <c r="H111" s="10"/>
      <c r="I111" s="10"/>
      <c r="J111" s="28"/>
      <c r="K111" s="3"/>
      <c r="L111" s="3"/>
      <c r="M111" s="3"/>
      <c r="N111" s="3"/>
      <c r="O111" s="3"/>
      <c r="P111" s="3"/>
    </row>
    <row r="112" ht="22.5" hidden="1" customHeight="1">
      <c r="A112" s="10"/>
      <c r="B112" s="48"/>
      <c r="C112" s="72"/>
      <c r="D112" s="10"/>
      <c r="E112" s="13"/>
      <c r="F112" s="16"/>
      <c r="G112" s="29"/>
      <c r="H112" s="10"/>
      <c r="I112" s="10"/>
      <c r="J112" s="28"/>
      <c r="K112" s="3"/>
      <c r="L112" s="3"/>
      <c r="M112" s="3"/>
      <c r="N112" s="3"/>
      <c r="O112" s="3"/>
      <c r="P112" s="3"/>
    </row>
    <row r="113" ht="22.5" hidden="1" customHeight="1">
      <c r="A113" s="10"/>
      <c r="B113" s="48"/>
      <c r="C113" s="71"/>
      <c r="D113" s="10"/>
      <c r="E113" s="13"/>
      <c r="F113" s="16"/>
      <c r="G113" s="29"/>
      <c r="H113" s="10"/>
      <c r="I113" s="16"/>
      <c r="J113" s="16"/>
      <c r="K113" s="3"/>
      <c r="L113" s="3"/>
      <c r="M113" s="3"/>
      <c r="N113" s="3"/>
      <c r="O113" s="3"/>
      <c r="P113" s="3"/>
    </row>
    <row r="114" ht="22.5" hidden="1" customHeight="1">
      <c r="A114" s="10"/>
      <c r="B114" s="48"/>
      <c r="C114" s="71"/>
      <c r="D114" s="10"/>
      <c r="E114" s="13"/>
      <c r="F114" s="16"/>
      <c r="G114" s="29"/>
      <c r="H114" s="10"/>
      <c r="I114" s="16"/>
      <c r="J114" s="16"/>
      <c r="K114" s="3"/>
      <c r="L114" s="3"/>
      <c r="M114" s="3"/>
      <c r="N114" s="3"/>
      <c r="O114" s="3"/>
      <c r="P114" s="3"/>
    </row>
    <row r="115" ht="22.5" hidden="1" customHeight="1">
      <c r="A115" s="10"/>
      <c r="B115" s="48"/>
      <c r="C115" s="72"/>
      <c r="D115" s="10"/>
      <c r="E115" s="13"/>
      <c r="F115" s="16"/>
      <c r="G115" s="29"/>
      <c r="H115" s="10"/>
      <c r="I115" s="10"/>
      <c r="J115" s="28"/>
      <c r="K115" s="3"/>
      <c r="L115" s="3"/>
      <c r="M115" s="3"/>
      <c r="N115" s="3"/>
      <c r="O115" s="3"/>
      <c r="P115" s="3"/>
    </row>
    <row r="116" ht="22.5" hidden="1" customHeight="1">
      <c r="A116" s="10"/>
      <c r="B116" s="48"/>
      <c r="C116" s="72"/>
      <c r="D116" s="73"/>
      <c r="E116" s="13"/>
      <c r="F116" s="16"/>
      <c r="G116" s="29"/>
      <c r="H116" s="10"/>
      <c r="I116" s="10"/>
      <c r="J116" s="28"/>
      <c r="K116" s="3"/>
      <c r="L116" s="3"/>
      <c r="M116" s="3"/>
      <c r="N116" s="3"/>
      <c r="O116" s="3"/>
      <c r="P116" s="3"/>
    </row>
    <row r="117" ht="22.5" hidden="1" customHeight="1">
      <c r="A117" s="10"/>
      <c r="B117" s="48"/>
      <c r="C117" s="71"/>
      <c r="D117" s="10"/>
      <c r="E117" s="13"/>
      <c r="F117" s="16"/>
      <c r="G117" s="29"/>
      <c r="H117" s="10"/>
      <c r="I117" s="16"/>
      <c r="J117" s="16"/>
      <c r="K117" s="3"/>
      <c r="L117" s="3"/>
      <c r="M117" s="3"/>
      <c r="N117" s="3"/>
      <c r="O117" s="3"/>
      <c r="P117" s="3"/>
    </row>
    <row r="118" ht="22.5" hidden="1" customHeight="1">
      <c r="A118" s="10"/>
      <c r="B118" s="48"/>
      <c r="C118" s="10"/>
      <c r="D118" s="10"/>
      <c r="E118" s="13"/>
      <c r="F118" s="16"/>
      <c r="G118" s="29"/>
      <c r="H118" s="10"/>
      <c r="I118" s="16"/>
      <c r="J118" s="16"/>
      <c r="K118" s="3"/>
      <c r="L118" s="3"/>
      <c r="M118" s="3"/>
      <c r="N118" s="3"/>
      <c r="O118" s="3"/>
      <c r="P118" s="3"/>
    </row>
    <row r="119" ht="22.5" hidden="1" customHeight="1">
      <c r="A119" s="10"/>
      <c r="B119" s="48"/>
      <c r="C119" s="10"/>
      <c r="D119" s="10"/>
      <c r="E119" s="13"/>
      <c r="F119" s="16"/>
      <c r="G119" s="29"/>
      <c r="H119" s="10"/>
      <c r="I119" s="16"/>
      <c r="J119" s="16"/>
      <c r="K119" s="3"/>
      <c r="L119" s="3"/>
      <c r="M119" s="3"/>
      <c r="N119" s="3"/>
      <c r="O119" s="3"/>
      <c r="P119" s="3"/>
    </row>
    <row r="120" ht="22.5" hidden="1" customHeight="1">
      <c r="A120" s="10"/>
      <c r="B120" s="48"/>
      <c r="C120" s="10"/>
      <c r="D120" s="10"/>
      <c r="E120" s="13"/>
      <c r="F120" s="16"/>
      <c r="G120" s="29"/>
      <c r="H120" s="10"/>
      <c r="I120" s="16"/>
      <c r="J120" s="16"/>
      <c r="K120" s="3"/>
      <c r="L120" s="3"/>
      <c r="M120" s="3"/>
      <c r="N120" s="3"/>
      <c r="O120" s="3"/>
      <c r="P120" s="3"/>
    </row>
    <row r="121" ht="22.5" hidden="1" customHeight="1">
      <c r="A121" s="10"/>
      <c r="B121" s="48"/>
      <c r="C121" s="10"/>
      <c r="D121" s="10"/>
      <c r="E121" s="13"/>
      <c r="F121" s="16"/>
      <c r="G121" s="29"/>
      <c r="H121" s="10"/>
      <c r="I121" s="16"/>
      <c r="J121" s="16"/>
      <c r="K121" s="3"/>
      <c r="L121" s="3"/>
      <c r="M121" s="3"/>
      <c r="N121" s="3"/>
      <c r="O121" s="3"/>
      <c r="P121" s="3"/>
    </row>
    <row r="122" ht="22.5" hidden="1" customHeight="1">
      <c r="A122" s="10"/>
      <c r="B122" s="48"/>
      <c r="C122" s="10"/>
      <c r="D122" s="10"/>
      <c r="E122" s="13"/>
      <c r="F122" s="16"/>
      <c r="G122" s="29"/>
      <c r="H122" s="10"/>
      <c r="I122" s="16"/>
      <c r="J122" s="16"/>
      <c r="K122" s="3"/>
      <c r="L122" s="3"/>
      <c r="M122" s="3"/>
      <c r="N122" s="3"/>
      <c r="O122" s="3"/>
      <c r="P122" s="3"/>
    </row>
    <row r="123" ht="22.5" hidden="1" customHeight="1">
      <c r="A123" s="10"/>
      <c r="B123" s="48"/>
      <c r="C123" s="71"/>
      <c r="D123" s="10"/>
      <c r="E123" s="13"/>
      <c r="F123" s="16"/>
      <c r="G123" s="29"/>
      <c r="H123" s="10"/>
      <c r="I123" s="16"/>
      <c r="J123" s="16"/>
      <c r="K123" s="3"/>
      <c r="L123" s="3"/>
      <c r="M123" s="3"/>
      <c r="N123" s="3"/>
      <c r="O123" s="3"/>
      <c r="P123" s="3"/>
    </row>
    <row r="124" ht="22.5" hidden="1" customHeight="1">
      <c r="A124" s="10"/>
      <c r="B124" s="48"/>
      <c r="C124" s="10"/>
      <c r="D124" s="10"/>
      <c r="E124" s="13"/>
      <c r="F124" s="16"/>
      <c r="G124" s="29"/>
      <c r="H124" s="10"/>
      <c r="I124" s="16"/>
      <c r="J124" s="16"/>
      <c r="K124" s="3"/>
      <c r="L124" s="3"/>
      <c r="M124" s="3"/>
      <c r="N124" s="3"/>
      <c r="O124" s="3"/>
      <c r="P124" s="3"/>
    </row>
    <row r="125" ht="22.5" hidden="1" customHeight="1">
      <c r="A125" s="16"/>
      <c r="B125" s="48"/>
      <c r="C125" s="16"/>
      <c r="D125" s="16"/>
      <c r="E125" s="74"/>
      <c r="F125" s="16"/>
      <c r="G125" s="29"/>
      <c r="H125" s="16"/>
      <c r="I125" s="16"/>
      <c r="J125" s="16"/>
      <c r="K125" s="3"/>
      <c r="L125" s="3"/>
      <c r="M125" s="3"/>
      <c r="N125" s="3"/>
      <c r="O125" s="3"/>
      <c r="P125" s="3"/>
    </row>
    <row r="126" ht="22.5" hidden="1" customHeight="1">
      <c r="A126" s="16"/>
      <c r="B126" s="75"/>
      <c r="C126" s="16"/>
      <c r="D126" s="16"/>
      <c r="E126" s="74"/>
      <c r="F126" s="16"/>
      <c r="G126" s="29"/>
      <c r="H126" s="16"/>
      <c r="I126" s="16"/>
      <c r="J126" s="16"/>
      <c r="K126" s="3"/>
      <c r="L126" s="3"/>
      <c r="M126" s="3"/>
      <c r="N126" s="3"/>
      <c r="O126" s="3"/>
      <c r="P126" s="3"/>
    </row>
    <row r="127" ht="22.5" hidden="1" customHeight="1">
      <c r="A127" s="16"/>
      <c r="B127" s="75"/>
      <c r="C127" s="16"/>
      <c r="D127" s="16"/>
      <c r="E127" s="74"/>
      <c r="F127" s="16"/>
      <c r="G127" s="29"/>
      <c r="H127" s="16"/>
      <c r="I127" s="16"/>
      <c r="J127" s="16"/>
      <c r="K127" s="3"/>
      <c r="L127" s="3"/>
      <c r="M127" s="3"/>
      <c r="N127" s="3"/>
      <c r="O127" s="3"/>
      <c r="P127" s="3"/>
    </row>
    <row r="128" ht="22.5" hidden="1" customHeight="1">
      <c r="A128" s="16"/>
      <c r="B128" s="75"/>
      <c r="C128" s="16"/>
      <c r="D128" s="16"/>
      <c r="E128" s="74"/>
      <c r="F128" s="16"/>
      <c r="G128" s="29"/>
      <c r="H128" s="16"/>
      <c r="I128" s="16"/>
      <c r="J128" s="16"/>
      <c r="K128" s="3"/>
      <c r="L128" s="3"/>
      <c r="M128" s="3"/>
      <c r="N128" s="3"/>
      <c r="O128" s="3"/>
      <c r="P128" s="3"/>
    </row>
    <row r="129" ht="22.5" hidden="1" customHeight="1">
      <c r="A129" s="16"/>
      <c r="B129" s="75"/>
      <c r="C129" s="16"/>
      <c r="D129" s="76"/>
      <c r="E129" s="74"/>
      <c r="F129" s="16"/>
      <c r="G129" s="29"/>
      <c r="H129" s="16"/>
      <c r="I129" s="16"/>
      <c r="J129" s="16"/>
      <c r="K129" s="3"/>
      <c r="L129" s="3"/>
      <c r="M129" s="3"/>
      <c r="N129" s="3"/>
      <c r="O129" s="3"/>
      <c r="P129" s="3"/>
    </row>
    <row r="130" ht="22.5" hidden="1" customHeight="1">
      <c r="A130" s="10"/>
      <c r="B130" s="48"/>
      <c r="C130" s="10"/>
      <c r="D130" s="10"/>
      <c r="E130" s="13"/>
      <c r="F130" s="16"/>
      <c r="G130" s="29"/>
      <c r="H130" s="16"/>
      <c r="I130" s="16"/>
      <c r="J130" s="16"/>
      <c r="K130" s="3"/>
      <c r="L130" s="3"/>
      <c r="M130" s="3"/>
      <c r="N130" s="3"/>
      <c r="O130" s="3"/>
      <c r="P130" s="3"/>
    </row>
    <row r="131" ht="22.5" hidden="1" customHeight="1">
      <c r="A131" s="10"/>
      <c r="B131" s="48"/>
      <c r="C131" s="72"/>
      <c r="D131" s="10"/>
      <c r="E131" s="13"/>
      <c r="F131" s="16"/>
      <c r="G131" s="29"/>
      <c r="H131" s="10"/>
      <c r="I131" s="10"/>
      <c r="J131" s="28"/>
      <c r="K131" s="3"/>
      <c r="L131" s="3"/>
      <c r="M131" s="3"/>
      <c r="N131" s="3"/>
      <c r="O131" s="3"/>
      <c r="P131" s="3"/>
    </row>
    <row r="132" ht="22.5" hidden="1" customHeight="1">
      <c r="A132" s="10"/>
      <c r="B132" s="48"/>
      <c r="C132" s="10"/>
      <c r="D132" s="10"/>
      <c r="E132" s="13"/>
      <c r="F132" s="16"/>
      <c r="G132" s="29"/>
      <c r="H132" s="10"/>
      <c r="I132" s="10"/>
      <c r="J132" s="28"/>
      <c r="K132" s="3"/>
      <c r="L132" s="3"/>
      <c r="M132" s="3"/>
      <c r="N132" s="3"/>
      <c r="O132" s="3"/>
      <c r="P132" s="3"/>
    </row>
    <row r="133" ht="22.5" hidden="1" customHeight="1">
      <c r="A133" s="10"/>
      <c r="B133" s="48"/>
      <c r="C133" s="72"/>
      <c r="D133" s="73"/>
      <c r="E133" s="13"/>
      <c r="F133" s="16"/>
      <c r="G133" s="29"/>
      <c r="H133" s="10"/>
      <c r="I133" s="10"/>
      <c r="J133" s="28"/>
      <c r="K133" s="3"/>
      <c r="L133" s="3"/>
      <c r="M133" s="3"/>
      <c r="N133" s="3"/>
      <c r="O133" s="3"/>
      <c r="P133" s="3"/>
    </row>
    <row r="134" ht="22.5" hidden="1" customHeight="1">
      <c r="A134" s="10"/>
      <c r="B134" s="48"/>
      <c r="C134" s="72"/>
      <c r="D134" s="10"/>
      <c r="E134" s="13"/>
      <c r="F134" s="16"/>
      <c r="G134" s="29"/>
      <c r="H134" s="10"/>
      <c r="I134" s="10"/>
      <c r="J134" s="28"/>
      <c r="K134" s="3"/>
      <c r="L134" s="3"/>
      <c r="M134" s="3"/>
      <c r="N134" s="3"/>
      <c r="O134" s="3"/>
      <c r="P134" s="3"/>
    </row>
    <row r="135" ht="22.5" hidden="1" customHeight="1">
      <c r="A135" s="10"/>
      <c r="B135" s="48"/>
      <c r="C135" s="10"/>
      <c r="D135" s="10"/>
      <c r="E135" s="13"/>
      <c r="F135" s="16"/>
      <c r="G135" s="29"/>
      <c r="H135" s="10"/>
      <c r="I135" s="10"/>
      <c r="J135" s="28"/>
      <c r="K135" s="3"/>
      <c r="L135" s="3"/>
      <c r="M135" s="3"/>
      <c r="N135" s="3"/>
      <c r="O135" s="3"/>
      <c r="P135" s="3"/>
    </row>
    <row r="136" ht="22.5" hidden="1" customHeight="1">
      <c r="A136" s="10"/>
      <c r="B136" s="48"/>
      <c r="C136" s="72"/>
      <c r="D136" s="73"/>
      <c r="E136" s="13"/>
      <c r="F136" s="16"/>
      <c r="G136" s="29"/>
      <c r="H136" s="10"/>
      <c r="I136" s="10"/>
      <c r="J136" s="28"/>
      <c r="K136" s="3"/>
      <c r="L136" s="3"/>
      <c r="M136" s="3"/>
      <c r="N136" s="3"/>
      <c r="O136" s="3"/>
      <c r="P136" s="3"/>
    </row>
    <row r="137" ht="22.5" hidden="1" customHeight="1">
      <c r="A137" s="10"/>
      <c r="B137" s="48"/>
      <c r="C137" s="72"/>
      <c r="D137" s="10"/>
      <c r="E137" s="13"/>
      <c r="F137" s="16"/>
      <c r="G137" s="29"/>
      <c r="H137" s="10"/>
      <c r="I137" s="10"/>
      <c r="J137" s="28"/>
      <c r="K137" s="3"/>
      <c r="L137" s="3"/>
      <c r="M137" s="3"/>
      <c r="N137" s="3"/>
      <c r="O137" s="3"/>
      <c r="P137" s="3"/>
    </row>
    <row r="138" ht="22.5" hidden="1" customHeight="1">
      <c r="A138" s="10"/>
      <c r="B138" s="48"/>
      <c r="C138" s="10"/>
      <c r="D138" s="10"/>
      <c r="E138" s="13"/>
      <c r="F138" s="16"/>
      <c r="G138" s="29"/>
      <c r="H138" s="10"/>
      <c r="I138" s="10"/>
      <c r="J138" s="28"/>
      <c r="K138" s="3"/>
      <c r="L138" s="3"/>
      <c r="M138" s="3"/>
      <c r="N138" s="3"/>
      <c r="O138" s="3"/>
      <c r="P138" s="3"/>
    </row>
    <row r="139" ht="22.5" hidden="1" customHeight="1">
      <c r="A139" s="10"/>
      <c r="B139" s="48"/>
      <c r="C139" s="72"/>
      <c r="D139" s="73"/>
      <c r="E139" s="13"/>
      <c r="F139" s="16"/>
      <c r="G139" s="29"/>
      <c r="H139" s="10"/>
      <c r="I139" s="10"/>
      <c r="J139" s="28"/>
      <c r="K139" s="3"/>
      <c r="L139" s="3"/>
      <c r="M139" s="3"/>
      <c r="N139" s="3"/>
      <c r="O139" s="3"/>
      <c r="P139" s="3"/>
    </row>
    <row r="140" ht="22.5" hidden="1" customHeight="1">
      <c r="A140" s="16"/>
      <c r="B140" s="75"/>
      <c r="C140" s="16"/>
      <c r="D140" s="16"/>
      <c r="E140" s="74"/>
      <c r="F140" s="16"/>
      <c r="G140" s="29"/>
      <c r="H140" s="16"/>
      <c r="I140" s="16"/>
      <c r="J140" s="16"/>
      <c r="K140" s="3"/>
      <c r="L140" s="3"/>
      <c r="M140" s="3"/>
      <c r="N140" s="3"/>
      <c r="O140" s="3"/>
      <c r="P140" s="3"/>
    </row>
    <row r="141" ht="22.5" hidden="1" customHeight="1">
      <c r="A141" s="10"/>
      <c r="B141" s="48"/>
      <c r="C141" s="72"/>
      <c r="D141" s="10"/>
      <c r="E141" s="13"/>
      <c r="F141" s="16"/>
      <c r="G141" s="29"/>
      <c r="H141" s="10"/>
      <c r="I141" s="10"/>
      <c r="J141" s="28"/>
      <c r="K141" s="3"/>
      <c r="L141" s="3"/>
      <c r="M141" s="3"/>
      <c r="N141" s="3"/>
      <c r="O141" s="3"/>
      <c r="P141" s="3"/>
    </row>
    <row r="142" ht="22.5" hidden="1" customHeight="1">
      <c r="A142" s="10"/>
      <c r="B142" s="48"/>
      <c r="C142" s="71"/>
      <c r="D142" s="10"/>
      <c r="E142" s="13"/>
      <c r="F142" s="16"/>
      <c r="G142" s="29"/>
      <c r="H142" s="10"/>
      <c r="I142" s="10"/>
      <c r="J142" s="28"/>
      <c r="K142" s="3"/>
      <c r="L142" s="3"/>
      <c r="M142" s="3"/>
      <c r="N142" s="3"/>
      <c r="O142" s="3"/>
      <c r="P142" s="3"/>
    </row>
    <row r="143" ht="22.5" hidden="1" customHeight="1">
      <c r="A143" s="10"/>
      <c r="B143" s="48"/>
      <c r="C143" s="72"/>
      <c r="D143" s="73"/>
      <c r="E143" s="13"/>
      <c r="F143" s="16"/>
      <c r="G143" s="29"/>
      <c r="H143" s="10"/>
      <c r="I143" s="10"/>
      <c r="J143" s="28"/>
      <c r="K143" s="3"/>
      <c r="L143" s="3"/>
      <c r="M143" s="3"/>
      <c r="N143" s="3"/>
      <c r="O143" s="3"/>
      <c r="P143" s="3"/>
    </row>
    <row r="144" ht="22.5" hidden="1" customHeight="1">
      <c r="A144" s="10"/>
      <c r="B144" s="48"/>
      <c r="C144" s="71"/>
      <c r="D144" s="10"/>
      <c r="E144" s="13"/>
      <c r="F144" s="16"/>
      <c r="G144" s="29"/>
      <c r="H144" s="16"/>
      <c r="I144" s="16"/>
      <c r="J144" s="16"/>
      <c r="K144" s="3"/>
      <c r="L144" s="3"/>
      <c r="M144" s="3"/>
      <c r="N144" s="3"/>
      <c r="O144" s="3"/>
      <c r="P144" s="3"/>
    </row>
    <row r="145" ht="22.5" hidden="1" customHeight="1">
      <c r="A145" s="16"/>
      <c r="B145" s="75"/>
      <c r="C145" s="16"/>
      <c r="D145" s="16"/>
      <c r="E145" s="74"/>
      <c r="F145" s="16"/>
      <c r="G145" s="29"/>
      <c r="H145" s="16"/>
      <c r="I145" s="16"/>
      <c r="J145" s="16"/>
      <c r="K145" s="3"/>
      <c r="L145" s="3"/>
      <c r="M145" s="3"/>
      <c r="N145" s="3"/>
      <c r="O145" s="3"/>
      <c r="P145" s="3"/>
    </row>
    <row r="146" ht="22.5" hidden="1" customHeight="1">
      <c r="A146" s="16"/>
      <c r="B146" s="75"/>
      <c r="C146" s="16"/>
      <c r="D146" s="16"/>
      <c r="E146" s="74"/>
      <c r="F146" s="16"/>
      <c r="G146" s="29"/>
      <c r="H146" s="16"/>
      <c r="I146" s="16"/>
      <c r="J146" s="16"/>
      <c r="K146" s="3"/>
      <c r="L146" s="3"/>
      <c r="M146" s="3"/>
      <c r="N146" s="3"/>
      <c r="O146" s="3"/>
      <c r="P146" s="3"/>
    </row>
    <row r="147" ht="22.5" hidden="1" customHeight="1">
      <c r="A147" s="16"/>
      <c r="B147" s="75"/>
      <c r="C147" s="16"/>
      <c r="D147" s="16"/>
      <c r="E147" s="74"/>
      <c r="F147" s="16"/>
      <c r="G147" s="29"/>
      <c r="H147" s="16"/>
      <c r="I147" s="16"/>
      <c r="J147" s="16"/>
      <c r="K147" s="3"/>
      <c r="L147" s="3"/>
      <c r="M147" s="3"/>
      <c r="N147" s="3"/>
      <c r="O147" s="3"/>
      <c r="P147" s="3"/>
    </row>
    <row r="148" ht="22.5" hidden="1" customHeight="1">
      <c r="A148" s="16"/>
      <c r="B148" s="75"/>
      <c r="C148" s="16"/>
      <c r="D148" s="16"/>
      <c r="E148" s="74"/>
      <c r="F148" s="16"/>
      <c r="G148" s="29"/>
      <c r="H148" s="16"/>
      <c r="I148" s="16"/>
      <c r="J148" s="16"/>
      <c r="K148" s="3"/>
      <c r="L148" s="3"/>
      <c r="M148" s="3"/>
      <c r="N148" s="3"/>
      <c r="O148" s="3"/>
      <c r="P148" s="3"/>
    </row>
    <row r="149" ht="22.5" hidden="1" customHeight="1">
      <c r="A149" s="16"/>
      <c r="B149" s="75"/>
      <c r="C149" s="16"/>
      <c r="D149" s="16"/>
      <c r="E149" s="74"/>
      <c r="F149" s="16"/>
      <c r="G149" s="29"/>
      <c r="H149" s="16"/>
      <c r="I149" s="16"/>
      <c r="J149" s="16"/>
      <c r="K149" s="3"/>
      <c r="L149" s="3"/>
      <c r="M149" s="3"/>
      <c r="N149" s="3"/>
      <c r="O149" s="3"/>
      <c r="P149" s="3"/>
    </row>
    <row r="150" ht="22.5" hidden="1" customHeight="1">
      <c r="A150" s="16"/>
      <c r="B150" s="75"/>
      <c r="C150" s="16"/>
      <c r="D150" s="16"/>
      <c r="E150" s="74"/>
      <c r="F150" s="16"/>
      <c r="G150" s="29"/>
      <c r="H150" s="16"/>
      <c r="I150" s="16"/>
      <c r="J150" s="16"/>
      <c r="K150" s="3"/>
      <c r="L150" s="3"/>
      <c r="M150" s="3"/>
      <c r="N150" s="3"/>
      <c r="O150" s="3"/>
      <c r="P150" s="3"/>
    </row>
    <row r="151" ht="22.5" hidden="1" customHeight="1">
      <c r="A151" s="16"/>
      <c r="B151" s="75"/>
      <c r="C151" s="16"/>
      <c r="D151" s="16"/>
      <c r="E151" s="74"/>
      <c r="F151" s="16"/>
      <c r="G151" s="29"/>
      <c r="H151" s="16"/>
      <c r="I151" s="16"/>
      <c r="J151" s="16"/>
      <c r="K151" s="3"/>
      <c r="L151" s="3"/>
      <c r="M151" s="3"/>
      <c r="N151" s="3"/>
      <c r="O151" s="3"/>
      <c r="P151" s="3"/>
    </row>
    <row r="152" ht="22.5" hidden="1" customHeight="1">
      <c r="A152" s="16"/>
      <c r="B152" s="75"/>
      <c r="C152" s="16"/>
      <c r="D152" s="16"/>
      <c r="E152" s="74"/>
      <c r="F152" s="16"/>
      <c r="G152" s="29"/>
      <c r="H152" s="16"/>
      <c r="I152" s="16"/>
      <c r="J152" s="16"/>
      <c r="K152" s="3"/>
      <c r="L152" s="3"/>
      <c r="M152" s="3"/>
      <c r="N152" s="3"/>
      <c r="O152" s="3"/>
      <c r="P152" s="3"/>
    </row>
    <row r="153" ht="22.5" hidden="1" customHeight="1">
      <c r="A153" s="16"/>
      <c r="B153" s="75"/>
      <c r="C153" s="16"/>
      <c r="D153" s="16"/>
      <c r="E153" s="74"/>
      <c r="F153" s="16"/>
      <c r="G153" s="29"/>
      <c r="H153" s="16"/>
      <c r="I153" s="16"/>
      <c r="J153" s="16"/>
      <c r="K153" s="3"/>
      <c r="L153" s="3"/>
      <c r="M153" s="3"/>
      <c r="N153" s="3"/>
      <c r="O153" s="3"/>
      <c r="P153" s="3"/>
    </row>
    <row r="154" ht="22.5" hidden="1" customHeight="1">
      <c r="A154" s="16"/>
      <c r="B154" s="75"/>
      <c r="C154" s="16"/>
      <c r="D154" s="16"/>
      <c r="E154" s="74"/>
      <c r="F154" s="16"/>
      <c r="G154" s="29"/>
      <c r="H154" s="16"/>
      <c r="I154" s="16"/>
      <c r="J154" s="16"/>
      <c r="K154" s="3"/>
      <c r="L154" s="3"/>
      <c r="M154" s="3"/>
      <c r="N154" s="3"/>
      <c r="O154" s="3"/>
      <c r="P154" s="3"/>
    </row>
    <row r="155" ht="22.5" hidden="1" customHeight="1">
      <c r="A155" s="16"/>
      <c r="B155" s="75"/>
      <c r="C155" s="16"/>
      <c r="D155" s="16"/>
      <c r="E155" s="74"/>
      <c r="F155" s="16"/>
      <c r="G155" s="29"/>
      <c r="H155" s="16"/>
      <c r="I155" s="16"/>
      <c r="J155" s="16"/>
      <c r="K155" s="3"/>
      <c r="L155" s="3"/>
      <c r="M155" s="3"/>
      <c r="N155" s="3"/>
      <c r="O155" s="3"/>
      <c r="P155" s="3"/>
    </row>
    <row r="156" ht="22.5" hidden="1" customHeight="1">
      <c r="A156" s="16"/>
      <c r="B156" s="75"/>
      <c r="C156" s="16"/>
      <c r="D156" s="16"/>
      <c r="E156" s="74"/>
      <c r="F156" s="16"/>
      <c r="G156" s="29"/>
      <c r="H156" s="16"/>
      <c r="I156" s="16"/>
      <c r="J156" s="16"/>
      <c r="K156" s="3"/>
      <c r="L156" s="3"/>
      <c r="M156" s="3"/>
      <c r="N156" s="3"/>
      <c r="O156" s="3"/>
      <c r="P156" s="3"/>
    </row>
    <row r="157" ht="22.5" hidden="1" customHeight="1">
      <c r="A157" s="16"/>
      <c r="B157" s="75"/>
      <c r="C157" s="16"/>
      <c r="D157" s="16"/>
      <c r="E157" s="74"/>
      <c r="F157" s="16"/>
      <c r="G157" s="29"/>
      <c r="H157" s="16"/>
      <c r="I157" s="16"/>
      <c r="J157" s="16"/>
      <c r="K157" s="3"/>
      <c r="L157" s="3"/>
      <c r="M157" s="3"/>
      <c r="N157" s="3"/>
      <c r="O157" s="3"/>
      <c r="P157" s="3"/>
    </row>
    <row r="158" ht="22.5" hidden="1" customHeight="1">
      <c r="A158" s="16"/>
      <c r="B158" s="75"/>
      <c r="C158" s="16"/>
      <c r="D158" s="16"/>
      <c r="E158" s="74"/>
      <c r="F158" s="16"/>
      <c r="G158" s="29"/>
      <c r="H158" s="16"/>
      <c r="I158" s="16"/>
      <c r="J158" s="16"/>
      <c r="K158" s="3"/>
      <c r="L158" s="3"/>
      <c r="M158" s="3"/>
      <c r="N158" s="3"/>
      <c r="O158" s="3"/>
      <c r="P158" s="3"/>
    </row>
    <row r="159" ht="22.5" hidden="1" customHeight="1">
      <c r="A159" s="16"/>
      <c r="B159" s="75"/>
      <c r="C159" s="16"/>
      <c r="D159" s="16"/>
      <c r="E159" s="74"/>
      <c r="F159" s="16"/>
      <c r="G159" s="29"/>
      <c r="H159" s="16"/>
      <c r="I159" s="16"/>
      <c r="J159" s="16"/>
      <c r="K159" s="3"/>
      <c r="L159" s="3"/>
      <c r="M159" s="3"/>
      <c r="N159" s="3"/>
      <c r="O159" s="3"/>
      <c r="P159" s="3"/>
    </row>
    <row r="160" ht="22.5" hidden="1" customHeight="1">
      <c r="A160" s="16"/>
      <c r="B160" s="75"/>
      <c r="C160" s="16"/>
      <c r="D160" s="16"/>
      <c r="E160" s="74"/>
      <c r="F160" s="16"/>
      <c r="G160" s="29"/>
      <c r="H160" s="16"/>
      <c r="I160" s="16"/>
      <c r="J160" s="16"/>
      <c r="K160" s="3"/>
      <c r="L160" s="3"/>
      <c r="M160" s="3"/>
      <c r="N160" s="3"/>
      <c r="O160" s="3"/>
      <c r="P160" s="3"/>
    </row>
    <row r="161" ht="22.5" hidden="1" customHeight="1">
      <c r="A161" s="16"/>
      <c r="B161" s="75"/>
      <c r="C161" s="16"/>
      <c r="D161" s="16"/>
      <c r="E161" s="74"/>
      <c r="F161" s="16"/>
      <c r="G161" s="29"/>
      <c r="H161" s="16"/>
      <c r="I161" s="16"/>
      <c r="J161" s="16"/>
      <c r="K161" s="3"/>
      <c r="L161" s="3"/>
      <c r="M161" s="3"/>
      <c r="N161" s="3"/>
      <c r="O161" s="3"/>
      <c r="P161" s="3"/>
    </row>
    <row r="162" ht="22.5" hidden="1" customHeight="1">
      <c r="A162" s="16"/>
      <c r="B162" s="75"/>
      <c r="C162" s="16"/>
      <c r="D162" s="16"/>
      <c r="E162" s="74"/>
      <c r="F162" s="16"/>
      <c r="G162" s="29"/>
      <c r="H162" s="16"/>
      <c r="I162" s="16"/>
      <c r="J162" s="16"/>
      <c r="K162" s="3"/>
      <c r="L162" s="3"/>
      <c r="M162" s="3"/>
      <c r="N162" s="3"/>
      <c r="O162" s="3"/>
      <c r="P162" s="3"/>
    </row>
    <row r="163" ht="22.5" hidden="1" customHeight="1">
      <c r="A163" s="16"/>
      <c r="B163" s="75"/>
      <c r="C163" s="16"/>
      <c r="D163" s="16"/>
      <c r="E163" s="74"/>
      <c r="F163" s="16"/>
      <c r="G163" s="29"/>
      <c r="H163" s="16"/>
      <c r="I163" s="16"/>
      <c r="J163" s="16"/>
      <c r="K163" s="3"/>
      <c r="L163" s="3"/>
      <c r="M163" s="3"/>
      <c r="N163" s="3"/>
      <c r="O163" s="3"/>
      <c r="P163" s="3"/>
    </row>
    <row r="164" ht="22.5" hidden="1" customHeight="1">
      <c r="A164" s="16"/>
      <c r="B164" s="75"/>
      <c r="C164" s="16"/>
      <c r="D164" s="16"/>
      <c r="E164" s="74"/>
      <c r="F164" s="16"/>
      <c r="G164" s="29"/>
      <c r="H164" s="16"/>
      <c r="I164" s="16"/>
      <c r="J164" s="16"/>
      <c r="K164" s="3"/>
      <c r="L164" s="3"/>
      <c r="M164" s="3"/>
      <c r="N164" s="3"/>
      <c r="O164" s="3"/>
      <c r="P164" s="3"/>
    </row>
    <row r="165" ht="22.5" hidden="1" customHeight="1">
      <c r="A165" s="16"/>
      <c r="B165" s="75"/>
      <c r="C165" s="16"/>
      <c r="D165" s="16"/>
      <c r="E165" s="74"/>
      <c r="F165" s="16"/>
      <c r="G165" s="29"/>
      <c r="H165" s="16"/>
      <c r="I165" s="16"/>
      <c r="J165" s="16"/>
      <c r="K165" s="3"/>
      <c r="L165" s="3"/>
      <c r="M165" s="3"/>
      <c r="N165" s="3"/>
      <c r="O165" s="3"/>
      <c r="P165" s="3"/>
    </row>
    <row r="166" ht="22.5" hidden="1" customHeight="1">
      <c r="A166" s="16"/>
      <c r="B166" s="75"/>
      <c r="C166" s="16"/>
      <c r="D166" s="16"/>
      <c r="E166" s="74"/>
      <c r="F166" s="16"/>
      <c r="G166" s="29"/>
      <c r="H166" s="16"/>
      <c r="I166" s="16"/>
      <c r="J166" s="16"/>
      <c r="K166" s="3"/>
      <c r="L166" s="3"/>
      <c r="M166" s="3"/>
      <c r="N166" s="3"/>
      <c r="O166" s="3"/>
      <c r="P166" s="3"/>
    </row>
    <row r="167" ht="22.5" hidden="1" customHeight="1">
      <c r="A167" s="16"/>
      <c r="B167" s="75"/>
      <c r="C167" s="16"/>
      <c r="D167" s="16"/>
      <c r="E167" s="74"/>
      <c r="F167" s="16"/>
      <c r="G167" s="29"/>
      <c r="H167" s="16"/>
      <c r="I167" s="16"/>
      <c r="J167" s="16"/>
      <c r="K167" s="3"/>
      <c r="L167" s="3"/>
      <c r="M167" s="3"/>
      <c r="N167" s="3"/>
      <c r="O167" s="3"/>
      <c r="P167" s="3"/>
    </row>
    <row r="168" ht="22.5" hidden="1" customHeight="1">
      <c r="A168" s="16"/>
      <c r="B168" s="75"/>
      <c r="C168" s="16"/>
      <c r="D168" s="16"/>
      <c r="E168" s="74"/>
      <c r="F168" s="16"/>
      <c r="G168" s="29"/>
      <c r="H168" s="16"/>
      <c r="I168" s="16"/>
      <c r="J168" s="16"/>
      <c r="K168" s="3"/>
      <c r="L168" s="3"/>
      <c r="M168" s="3"/>
      <c r="N168" s="3"/>
      <c r="O168" s="3"/>
      <c r="P168" s="3"/>
    </row>
    <row r="169" ht="22.5" hidden="1" customHeight="1">
      <c r="A169" s="16"/>
      <c r="B169" s="75"/>
      <c r="C169" s="16"/>
      <c r="D169" s="16"/>
      <c r="E169" s="74"/>
      <c r="F169" s="16"/>
      <c r="G169" s="29"/>
      <c r="H169" s="16"/>
      <c r="I169" s="16"/>
      <c r="J169" s="16"/>
      <c r="K169" s="3"/>
      <c r="L169" s="3"/>
      <c r="M169" s="3"/>
      <c r="N169" s="3"/>
      <c r="O169" s="3"/>
      <c r="P169" s="3"/>
    </row>
    <row r="170" ht="22.5" hidden="1" customHeight="1">
      <c r="A170" s="16"/>
      <c r="B170" s="75"/>
      <c r="C170" s="16"/>
      <c r="D170" s="16"/>
      <c r="E170" s="74"/>
      <c r="F170" s="16"/>
      <c r="G170" s="29"/>
      <c r="H170" s="16"/>
      <c r="I170" s="16"/>
      <c r="J170" s="16"/>
      <c r="K170" s="3"/>
      <c r="L170" s="3"/>
      <c r="M170" s="3"/>
      <c r="N170" s="3"/>
      <c r="O170" s="3"/>
      <c r="P170" s="3"/>
    </row>
    <row r="171" ht="22.5" hidden="1" customHeight="1">
      <c r="A171" s="16"/>
      <c r="B171" s="75"/>
      <c r="C171" s="16"/>
      <c r="D171" s="16"/>
      <c r="E171" s="74"/>
      <c r="F171" s="16"/>
      <c r="G171" s="29"/>
      <c r="H171" s="16"/>
      <c r="I171" s="16"/>
      <c r="J171" s="16"/>
      <c r="K171" s="3"/>
      <c r="L171" s="3"/>
      <c r="M171" s="3"/>
      <c r="N171" s="3"/>
      <c r="O171" s="3"/>
      <c r="P171" s="3"/>
    </row>
    <row r="172" ht="22.5" hidden="1" customHeight="1">
      <c r="A172" s="16"/>
      <c r="B172" s="75"/>
      <c r="C172" s="16"/>
      <c r="D172" s="16"/>
      <c r="E172" s="74"/>
      <c r="F172" s="16"/>
      <c r="G172" s="29"/>
      <c r="H172" s="16"/>
      <c r="I172" s="16"/>
      <c r="J172" s="16"/>
      <c r="K172" s="3"/>
      <c r="L172" s="3"/>
      <c r="M172" s="3"/>
      <c r="N172" s="3"/>
      <c r="O172" s="3"/>
      <c r="P172" s="3"/>
    </row>
    <row r="173" ht="22.5" hidden="1" customHeight="1">
      <c r="A173" s="16"/>
      <c r="B173" s="75"/>
      <c r="C173" s="16"/>
      <c r="D173" s="16"/>
      <c r="E173" s="74"/>
      <c r="F173" s="16"/>
      <c r="G173" s="29"/>
      <c r="H173" s="16"/>
      <c r="I173" s="16"/>
      <c r="J173" s="16"/>
      <c r="K173" s="3"/>
      <c r="L173" s="3"/>
      <c r="M173" s="3"/>
      <c r="N173" s="3"/>
      <c r="O173" s="3"/>
      <c r="P173" s="3"/>
    </row>
    <row r="174" ht="22.5" hidden="1" customHeight="1">
      <c r="A174" s="16"/>
      <c r="B174" s="75"/>
      <c r="C174" s="16"/>
      <c r="D174" s="16"/>
      <c r="E174" s="74"/>
      <c r="F174" s="16"/>
      <c r="G174" s="29"/>
      <c r="H174" s="16"/>
      <c r="I174" s="16"/>
      <c r="J174" s="16"/>
      <c r="K174" s="3"/>
      <c r="L174" s="3"/>
      <c r="M174" s="3"/>
      <c r="N174" s="3"/>
      <c r="O174" s="3"/>
      <c r="P174" s="3"/>
    </row>
    <row r="175" ht="22.5" hidden="1" customHeight="1">
      <c r="A175" s="16"/>
      <c r="B175" s="75"/>
      <c r="C175" s="16"/>
      <c r="D175" s="16"/>
      <c r="E175" s="74"/>
      <c r="F175" s="16"/>
      <c r="G175" s="29"/>
      <c r="H175" s="16"/>
      <c r="I175" s="16"/>
      <c r="J175" s="16"/>
      <c r="K175" s="3"/>
      <c r="L175" s="3"/>
      <c r="M175" s="3"/>
      <c r="N175" s="3"/>
      <c r="O175" s="3"/>
      <c r="P175" s="3"/>
    </row>
    <row r="176" ht="22.5" hidden="1" customHeight="1">
      <c r="A176" s="16"/>
      <c r="B176" s="75"/>
      <c r="C176" s="16"/>
      <c r="D176" s="16"/>
      <c r="E176" s="74"/>
      <c r="F176" s="16"/>
      <c r="G176" s="29"/>
      <c r="H176" s="16"/>
      <c r="I176" s="16"/>
      <c r="J176" s="16"/>
      <c r="K176" s="3"/>
      <c r="L176" s="3"/>
      <c r="M176" s="3"/>
      <c r="N176" s="3"/>
      <c r="O176" s="3"/>
      <c r="P176" s="3"/>
    </row>
    <row r="177" ht="22.5" hidden="1" customHeight="1">
      <c r="A177" s="16"/>
      <c r="B177" s="75"/>
      <c r="C177" s="16"/>
      <c r="D177" s="16"/>
      <c r="E177" s="74"/>
      <c r="F177" s="16"/>
      <c r="G177" s="29"/>
      <c r="H177" s="16"/>
      <c r="I177" s="16"/>
      <c r="J177" s="16"/>
      <c r="K177" s="3"/>
      <c r="L177" s="3"/>
      <c r="M177" s="3"/>
      <c r="N177" s="3"/>
      <c r="O177" s="3"/>
      <c r="P177" s="3"/>
    </row>
    <row r="178" ht="22.5" hidden="1" customHeight="1">
      <c r="A178" s="16"/>
      <c r="B178" s="75"/>
      <c r="C178" s="16"/>
      <c r="D178" s="16"/>
      <c r="E178" s="74"/>
      <c r="F178" s="16"/>
      <c r="G178" s="29"/>
      <c r="H178" s="16"/>
      <c r="I178" s="16"/>
      <c r="J178" s="16"/>
      <c r="K178" s="3"/>
      <c r="L178" s="3"/>
      <c r="M178" s="3"/>
      <c r="N178" s="3"/>
      <c r="O178" s="3"/>
      <c r="P178" s="3"/>
    </row>
    <row r="179" ht="22.5" hidden="1" customHeight="1">
      <c r="A179" s="16"/>
      <c r="B179" s="75"/>
      <c r="C179" s="16"/>
      <c r="D179" s="16"/>
      <c r="E179" s="74"/>
      <c r="F179" s="16"/>
      <c r="G179" s="29"/>
      <c r="H179" s="16"/>
      <c r="I179" s="16"/>
      <c r="J179" s="16"/>
      <c r="K179" s="3"/>
      <c r="L179" s="3"/>
      <c r="M179" s="3"/>
      <c r="N179" s="3"/>
      <c r="O179" s="3"/>
      <c r="P179" s="3"/>
    </row>
    <row r="180" ht="22.5" hidden="1" customHeight="1">
      <c r="A180" s="16"/>
      <c r="B180" s="75"/>
      <c r="C180" s="16"/>
      <c r="D180" s="16"/>
      <c r="E180" s="74"/>
      <c r="F180" s="16"/>
      <c r="G180" s="29"/>
      <c r="H180" s="16"/>
      <c r="I180" s="16"/>
      <c r="J180" s="16"/>
      <c r="K180" s="3"/>
      <c r="L180" s="3"/>
      <c r="M180" s="3"/>
      <c r="N180" s="3"/>
      <c r="O180" s="3"/>
      <c r="P180" s="3"/>
    </row>
    <row r="181" ht="22.5" hidden="1" customHeight="1">
      <c r="A181" s="16"/>
      <c r="B181" s="75"/>
      <c r="C181" s="16"/>
      <c r="D181" s="16"/>
      <c r="E181" s="74"/>
      <c r="F181" s="16"/>
      <c r="G181" s="29"/>
      <c r="H181" s="16"/>
      <c r="I181" s="16"/>
      <c r="J181" s="16"/>
      <c r="K181" s="3"/>
      <c r="L181" s="3"/>
      <c r="M181" s="3"/>
      <c r="N181" s="3"/>
      <c r="O181" s="3"/>
      <c r="P181" s="3"/>
    </row>
    <row r="182" ht="22.5" hidden="1" customHeight="1">
      <c r="A182" s="16"/>
      <c r="B182" s="75"/>
      <c r="C182" s="16"/>
      <c r="D182" s="16"/>
      <c r="E182" s="74"/>
      <c r="F182" s="16"/>
      <c r="G182" s="29"/>
      <c r="H182" s="16"/>
      <c r="I182" s="16"/>
      <c r="J182" s="16"/>
      <c r="K182" s="3"/>
      <c r="L182" s="3"/>
      <c r="M182" s="3"/>
      <c r="N182" s="3"/>
      <c r="O182" s="3"/>
      <c r="P182" s="3"/>
    </row>
    <row r="183" ht="22.5" hidden="1" customHeight="1">
      <c r="A183" s="16"/>
      <c r="B183" s="75"/>
      <c r="C183" s="16"/>
      <c r="D183" s="16"/>
      <c r="E183" s="74"/>
      <c r="F183" s="16"/>
      <c r="G183" s="29"/>
      <c r="H183" s="16"/>
      <c r="I183" s="16"/>
      <c r="J183" s="16"/>
      <c r="K183" s="3"/>
      <c r="L183" s="3"/>
      <c r="M183" s="3"/>
      <c r="N183" s="3"/>
      <c r="O183" s="3"/>
      <c r="P183" s="3"/>
    </row>
    <row r="184" ht="22.5" hidden="1" customHeight="1">
      <c r="A184" s="16"/>
      <c r="B184" s="75"/>
      <c r="C184" s="16"/>
      <c r="D184" s="16"/>
      <c r="E184" s="74"/>
      <c r="F184" s="16"/>
      <c r="G184" s="29"/>
      <c r="H184" s="16"/>
      <c r="I184" s="16"/>
      <c r="J184" s="16"/>
      <c r="K184" s="3"/>
      <c r="L184" s="3"/>
      <c r="M184" s="3"/>
      <c r="N184" s="3"/>
      <c r="O184" s="3"/>
      <c r="P184" s="3"/>
    </row>
    <row r="185" ht="22.5" hidden="1" customHeight="1">
      <c r="A185" s="16"/>
      <c r="B185" s="75"/>
      <c r="C185" s="16"/>
      <c r="D185" s="16"/>
      <c r="E185" s="74"/>
      <c r="F185" s="16"/>
      <c r="G185" s="29"/>
      <c r="H185" s="16"/>
      <c r="I185" s="16"/>
      <c r="J185" s="16"/>
      <c r="K185" s="3"/>
      <c r="L185" s="3"/>
      <c r="M185" s="3"/>
      <c r="N185" s="3"/>
      <c r="O185" s="3"/>
      <c r="P185" s="3"/>
    </row>
    <row r="186" ht="22.5" hidden="1" customHeight="1">
      <c r="A186" s="16"/>
      <c r="B186" s="75"/>
      <c r="C186" s="16"/>
      <c r="D186" s="16"/>
      <c r="E186" s="74"/>
      <c r="F186" s="16"/>
      <c r="G186" s="29"/>
      <c r="H186" s="16"/>
      <c r="I186" s="16"/>
      <c r="J186" s="16"/>
      <c r="K186" s="3"/>
      <c r="L186" s="3"/>
      <c r="M186" s="3"/>
      <c r="N186" s="3"/>
      <c r="O186" s="3"/>
      <c r="P186" s="3"/>
    </row>
    <row r="187" ht="22.5" hidden="1" customHeight="1">
      <c r="A187" s="16"/>
      <c r="B187" s="75"/>
      <c r="C187" s="16"/>
      <c r="D187" s="16"/>
      <c r="E187" s="74"/>
      <c r="F187" s="16"/>
      <c r="G187" s="29"/>
      <c r="H187" s="16"/>
      <c r="I187" s="16"/>
      <c r="J187" s="16"/>
      <c r="K187" s="3"/>
      <c r="L187" s="3"/>
      <c r="M187" s="3"/>
      <c r="N187" s="3"/>
      <c r="O187" s="3"/>
      <c r="P187" s="3"/>
    </row>
    <row r="188" ht="22.5" hidden="1" customHeight="1">
      <c r="A188" s="16"/>
      <c r="B188" s="75"/>
      <c r="C188" s="16"/>
      <c r="D188" s="16"/>
      <c r="E188" s="74"/>
      <c r="F188" s="16"/>
      <c r="G188" s="29"/>
      <c r="H188" s="16"/>
      <c r="I188" s="16"/>
      <c r="J188" s="16"/>
      <c r="K188" s="3"/>
      <c r="L188" s="3"/>
      <c r="M188" s="3"/>
      <c r="N188" s="3"/>
      <c r="O188" s="3"/>
      <c r="P188" s="3"/>
    </row>
    <row r="189" ht="22.5" hidden="1" customHeight="1">
      <c r="A189" s="16"/>
      <c r="B189" s="75"/>
      <c r="C189" s="16"/>
      <c r="D189" s="16"/>
      <c r="E189" s="74"/>
      <c r="F189" s="16"/>
      <c r="G189" s="29"/>
      <c r="H189" s="16"/>
      <c r="I189" s="16"/>
      <c r="J189" s="16"/>
      <c r="K189" s="3"/>
      <c r="L189" s="3"/>
      <c r="M189" s="3"/>
      <c r="N189" s="3"/>
      <c r="O189" s="3"/>
      <c r="P189" s="3"/>
    </row>
    <row r="190" ht="22.5" hidden="1" customHeight="1">
      <c r="A190" s="16"/>
      <c r="B190" s="75"/>
      <c r="C190" s="16"/>
      <c r="D190" s="16"/>
      <c r="E190" s="74"/>
      <c r="F190" s="16"/>
      <c r="G190" s="29"/>
      <c r="H190" s="16"/>
      <c r="I190" s="16"/>
      <c r="J190" s="16"/>
      <c r="K190" s="3"/>
      <c r="L190" s="3"/>
      <c r="M190" s="3"/>
      <c r="N190" s="3"/>
      <c r="O190" s="3"/>
      <c r="P190" s="3"/>
    </row>
    <row r="191" ht="22.5" hidden="1" customHeight="1">
      <c r="A191" s="16"/>
      <c r="B191" s="75"/>
      <c r="C191" s="16"/>
      <c r="D191" s="16"/>
      <c r="E191" s="74"/>
      <c r="F191" s="16"/>
      <c r="G191" s="29"/>
      <c r="H191" s="16"/>
      <c r="I191" s="16"/>
      <c r="J191" s="16"/>
      <c r="K191" s="3"/>
      <c r="L191" s="3"/>
      <c r="M191" s="3"/>
      <c r="N191" s="3"/>
      <c r="O191" s="3"/>
      <c r="P191" s="3"/>
    </row>
    <row r="192" ht="22.5" hidden="1" customHeight="1">
      <c r="A192" s="16"/>
      <c r="B192" s="75"/>
      <c r="C192" s="16"/>
      <c r="D192" s="16"/>
      <c r="E192" s="74"/>
      <c r="F192" s="16"/>
      <c r="G192" s="29"/>
      <c r="H192" s="16"/>
      <c r="I192" s="16"/>
      <c r="J192" s="16"/>
      <c r="K192" s="3"/>
      <c r="L192" s="3"/>
      <c r="M192" s="3"/>
      <c r="N192" s="3"/>
      <c r="O192" s="3"/>
      <c r="P192" s="3"/>
    </row>
    <row r="193" ht="22.5" hidden="1" customHeight="1">
      <c r="A193" s="16"/>
      <c r="B193" s="75"/>
      <c r="C193" s="16"/>
      <c r="D193" s="16"/>
      <c r="E193" s="74"/>
      <c r="F193" s="16"/>
      <c r="G193" s="29"/>
      <c r="H193" s="16"/>
      <c r="I193" s="16"/>
      <c r="J193" s="16"/>
      <c r="K193" s="3"/>
      <c r="L193" s="3"/>
      <c r="M193" s="3"/>
      <c r="N193" s="3"/>
      <c r="O193" s="3"/>
      <c r="P193" s="3"/>
    </row>
    <row r="194" ht="22.5" hidden="1" customHeight="1">
      <c r="A194" s="16"/>
      <c r="B194" s="75"/>
      <c r="C194" s="16"/>
      <c r="D194" s="16"/>
      <c r="E194" s="74"/>
      <c r="F194" s="16"/>
      <c r="G194" s="29"/>
      <c r="H194" s="16"/>
      <c r="I194" s="16"/>
      <c r="J194" s="16"/>
      <c r="K194" s="3"/>
      <c r="L194" s="3"/>
      <c r="M194" s="3"/>
      <c r="N194" s="3"/>
      <c r="O194" s="3"/>
      <c r="P194" s="3"/>
    </row>
    <row r="195" ht="22.5" hidden="1" customHeight="1">
      <c r="A195" s="16"/>
      <c r="B195" s="75"/>
      <c r="C195" s="16"/>
      <c r="D195" s="16"/>
      <c r="E195" s="74"/>
      <c r="F195" s="16"/>
      <c r="G195" s="29"/>
      <c r="H195" s="16"/>
      <c r="I195" s="16"/>
      <c r="J195" s="16"/>
      <c r="K195" s="3"/>
      <c r="L195" s="3"/>
      <c r="M195" s="3"/>
      <c r="N195" s="3"/>
      <c r="O195" s="3"/>
      <c r="P195" s="3"/>
    </row>
    <row r="196" ht="22.5" hidden="1" customHeight="1">
      <c r="A196" s="16"/>
      <c r="B196" s="75"/>
      <c r="C196" s="16"/>
      <c r="D196" s="16"/>
      <c r="E196" s="74"/>
      <c r="F196" s="16"/>
      <c r="G196" s="29"/>
      <c r="H196" s="16"/>
      <c r="I196" s="16"/>
      <c r="J196" s="16"/>
      <c r="K196" s="3"/>
      <c r="L196" s="3"/>
      <c r="M196" s="3"/>
      <c r="N196" s="3"/>
      <c r="O196" s="3"/>
      <c r="P196" s="3"/>
    </row>
    <row r="197" ht="22.5" hidden="1" customHeight="1">
      <c r="A197" s="16"/>
      <c r="B197" s="75"/>
      <c r="C197" s="16"/>
      <c r="D197" s="16"/>
      <c r="E197" s="74"/>
      <c r="F197" s="16"/>
      <c r="G197" s="29"/>
      <c r="H197" s="16"/>
      <c r="I197" s="16"/>
      <c r="J197" s="16"/>
      <c r="K197" s="3"/>
      <c r="L197" s="3"/>
      <c r="M197" s="3"/>
      <c r="N197" s="3"/>
      <c r="O197" s="3"/>
      <c r="P197" s="3"/>
    </row>
    <row r="198" ht="22.5" hidden="1" customHeight="1">
      <c r="A198" s="16"/>
      <c r="B198" s="75"/>
      <c r="C198" s="16"/>
      <c r="D198" s="16"/>
      <c r="E198" s="74"/>
      <c r="F198" s="16"/>
      <c r="G198" s="29"/>
      <c r="H198" s="16"/>
      <c r="I198" s="16"/>
      <c r="J198" s="16"/>
      <c r="K198" s="3"/>
      <c r="L198" s="3"/>
      <c r="M198" s="3"/>
      <c r="N198" s="3"/>
      <c r="O198" s="3"/>
      <c r="P198" s="3"/>
    </row>
    <row r="199" ht="22.5" hidden="1" customHeight="1">
      <c r="A199" s="16"/>
      <c r="B199" s="75"/>
      <c r="C199" s="16"/>
      <c r="D199" s="16"/>
      <c r="E199" s="74"/>
      <c r="F199" s="16"/>
      <c r="G199" s="29"/>
      <c r="H199" s="16"/>
      <c r="I199" s="16"/>
      <c r="J199" s="16"/>
      <c r="K199" s="3"/>
      <c r="L199" s="3"/>
      <c r="M199" s="3"/>
      <c r="N199" s="3"/>
      <c r="O199" s="3"/>
      <c r="P199" s="3"/>
    </row>
    <row r="200" ht="22.5" hidden="1" customHeight="1">
      <c r="A200" s="16"/>
      <c r="B200" s="75"/>
      <c r="C200" s="16"/>
      <c r="D200" s="16"/>
      <c r="E200" s="74"/>
      <c r="F200" s="16"/>
      <c r="G200" s="29"/>
      <c r="H200" s="16"/>
      <c r="I200" s="16"/>
      <c r="J200" s="16"/>
      <c r="K200" s="3"/>
      <c r="L200" s="3"/>
      <c r="M200" s="3"/>
      <c r="N200" s="3"/>
      <c r="O200" s="3"/>
      <c r="P200" s="3"/>
    </row>
    <row r="201" ht="22.5" hidden="1" customHeight="1">
      <c r="A201" s="16"/>
      <c r="B201" s="75"/>
      <c r="C201" s="16"/>
      <c r="D201" s="16"/>
      <c r="E201" s="74"/>
      <c r="F201" s="16"/>
      <c r="G201" s="29"/>
      <c r="H201" s="16"/>
      <c r="I201" s="16"/>
      <c r="J201" s="16"/>
      <c r="K201" s="3"/>
      <c r="L201" s="3"/>
      <c r="M201" s="3"/>
      <c r="N201" s="3"/>
      <c r="O201" s="3"/>
      <c r="P201" s="3"/>
    </row>
    <row r="202" ht="22.5" hidden="1" customHeight="1">
      <c r="A202" s="16"/>
      <c r="B202" s="75"/>
      <c r="C202" s="16"/>
      <c r="D202" s="16"/>
      <c r="E202" s="74"/>
      <c r="F202" s="16"/>
      <c r="G202" s="29"/>
      <c r="H202" s="16"/>
      <c r="I202" s="16"/>
      <c r="J202" s="16"/>
      <c r="K202" s="3"/>
      <c r="L202" s="3"/>
      <c r="M202" s="3"/>
      <c r="N202" s="3"/>
      <c r="O202" s="3"/>
      <c r="P202" s="3"/>
    </row>
    <row r="203" ht="22.5" hidden="1" customHeight="1">
      <c r="A203" s="16"/>
      <c r="B203" s="75"/>
      <c r="C203" s="16"/>
      <c r="D203" s="16"/>
      <c r="E203" s="74"/>
      <c r="F203" s="16"/>
      <c r="G203" s="29"/>
      <c r="H203" s="16"/>
      <c r="I203" s="16"/>
      <c r="J203" s="16"/>
      <c r="K203" s="3"/>
      <c r="L203" s="3"/>
      <c r="M203" s="3"/>
      <c r="N203" s="3"/>
      <c r="O203" s="3"/>
      <c r="P203" s="3"/>
    </row>
    <row r="204" ht="22.5" hidden="1" customHeight="1">
      <c r="A204" s="16"/>
      <c r="B204" s="75"/>
      <c r="C204" s="16"/>
      <c r="D204" s="16"/>
      <c r="E204" s="74"/>
      <c r="F204" s="16"/>
      <c r="G204" s="29"/>
      <c r="H204" s="16"/>
      <c r="I204" s="16"/>
      <c r="J204" s="16"/>
      <c r="K204" s="3"/>
      <c r="L204" s="3"/>
      <c r="M204" s="3"/>
      <c r="N204" s="3"/>
      <c r="O204" s="3"/>
      <c r="P204" s="3"/>
    </row>
    <row r="205" ht="22.5" hidden="1" customHeight="1">
      <c r="A205" s="16"/>
      <c r="B205" s="75"/>
      <c r="C205" s="16"/>
      <c r="D205" s="16"/>
      <c r="E205" s="74"/>
      <c r="F205" s="16"/>
      <c r="G205" s="29"/>
      <c r="H205" s="16"/>
      <c r="I205" s="16"/>
      <c r="J205" s="16"/>
      <c r="K205" s="3"/>
      <c r="L205" s="3"/>
      <c r="M205" s="3"/>
      <c r="N205" s="3"/>
      <c r="O205" s="3"/>
      <c r="P205" s="3"/>
    </row>
    <row r="206" ht="22.5" hidden="1" customHeight="1">
      <c r="A206" s="16"/>
      <c r="B206" s="75"/>
      <c r="C206" s="16"/>
      <c r="D206" s="16"/>
      <c r="E206" s="74"/>
      <c r="F206" s="16"/>
      <c r="G206" s="29"/>
      <c r="H206" s="16"/>
      <c r="I206" s="16"/>
      <c r="J206" s="16"/>
      <c r="K206" s="3"/>
      <c r="L206" s="3"/>
      <c r="M206" s="3"/>
      <c r="N206" s="3"/>
      <c r="O206" s="3"/>
      <c r="P206" s="3"/>
    </row>
    <row r="207" ht="22.5" hidden="1" customHeight="1">
      <c r="A207" s="16"/>
      <c r="B207" s="75"/>
      <c r="C207" s="16"/>
      <c r="D207" s="16"/>
      <c r="E207" s="74"/>
      <c r="F207" s="16"/>
      <c r="G207" s="29"/>
      <c r="H207" s="16"/>
      <c r="I207" s="16"/>
      <c r="J207" s="16"/>
      <c r="K207" s="3"/>
      <c r="L207" s="3"/>
      <c r="M207" s="3"/>
      <c r="N207" s="3"/>
      <c r="O207" s="3"/>
      <c r="P207" s="3"/>
    </row>
    <row r="208" ht="22.5" hidden="1" customHeight="1">
      <c r="A208" s="16"/>
      <c r="B208" s="75"/>
      <c r="C208" s="16"/>
      <c r="D208" s="16"/>
      <c r="E208" s="74"/>
      <c r="F208" s="16"/>
      <c r="G208" s="29"/>
      <c r="H208" s="16"/>
      <c r="I208" s="16"/>
      <c r="J208" s="16"/>
      <c r="K208" s="3"/>
      <c r="L208" s="3"/>
      <c r="M208" s="3"/>
      <c r="N208" s="3"/>
      <c r="O208" s="3"/>
      <c r="P208" s="3"/>
    </row>
    <row r="209" ht="22.5" hidden="1" customHeight="1">
      <c r="A209" s="16"/>
      <c r="B209" s="75"/>
      <c r="C209" s="16"/>
      <c r="D209" s="16"/>
      <c r="E209" s="74"/>
      <c r="F209" s="16"/>
      <c r="G209" s="29"/>
      <c r="H209" s="16"/>
      <c r="I209" s="16"/>
      <c r="J209" s="16"/>
      <c r="K209" s="3"/>
      <c r="L209" s="3"/>
      <c r="M209" s="3"/>
      <c r="N209" s="3"/>
      <c r="O209" s="3"/>
      <c r="P209" s="3"/>
    </row>
    <row r="210" ht="22.5" hidden="1" customHeight="1">
      <c r="A210" s="16"/>
      <c r="B210" s="75"/>
      <c r="C210" s="16"/>
      <c r="D210" s="16"/>
      <c r="E210" s="74"/>
      <c r="F210" s="16"/>
      <c r="G210" s="29"/>
      <c r="H210" s="16"/>
      <c r="I210" s="16"/>
      <c r="J210" s="16"/>
      <c r="K210" s="3"/>
      <c r="L210" s="3"/>
      <c r="M210" s="3"/>
      <c r="N210" s="3"/>
      <c r="O210" s="3"/>
      <c r="P210" s="3"/>
    </row>
    <row r="211" ht="22.5" hidden="1" customHeight="1">
      <c r="A211" s="16"/>
      <c r="B211" s="75"/>
      <c r="C211" s="16"/>
      <c r="D211" s="16"/>
      <c r="E211" s="74"/>
      <c r="F211" s="16"/>
      <c r="G211" s="29"/>
      <c r="H211" s="16"/>
      <c r="I211" s="16"/>
      <c r="J211" s="16"/>
      <c r="K211" s="3"/>
      <c r="L211" s="3"/>
      <c r="M211" s="6"/>
      <c r="N211" s="3"/>
      <c r="O211" s="3"/>
      <c r="P211" s="3"/>
    </row>
    <row r="212" ht="22.5" hidden="1" customHeight="1">
      <c r="A212" s="16"/>
      <c r="B212" s="75"/>
      <c r="C212" s="16"/>
      <c r="D212" s="76"/>
      <c r="E212" s="74"/>
      <c r="F212" s="16"/>
      <c r="G212" s="29"/>
      <c r="H212" s="16"/>
      <c r="I212" s="16"/>
      <c r="J212" s="16"/>
      <c r="K212" s="3"/>
      <c r="L212" s="3"/>
      <c r="M212" s="3"/>
      <c r="N212" s="6"/>
      <c r="O212" s="3"/>
      <c r="P212" s="3"/>
    </row>
    <row r="213" ht="22.5" hidden="1" customHeight="1">
      <c r="A213" s="16"/>
      <c r="B213" s="75"/>
      <c r="C213" s="16"/>
      <c r="D213" s="16"/>
      <c r="E213" s="74"/>
      <c r="F213" s="16"/>
      <c r="G213" s="29"/>
      <c r="H213" s="16"/>
      <c r="I213" s="16"/>
      <c r="J213" s="16"/>
      <c r="K213" s="3"/>
      <c r="L213" s="3"/>
      <c r="M213" s="3"/>
      <c r="N213" s="3"/>
      <c r="O213" s="3"/>
      <c r="P213" s="3"/>
    </row>
    <row r="214" ht="22.5" hidden="1" customHeight="1">
      <c r="A214" s="16"/>
      <c r="B214" s="75"/>
      <c r="C214" s="16"/>
      <c r="D214" s="16"/>
      <c r="E214" s="74"/>
      <c r="F214" s="16"/>
      <c r="G214" s="29"/>
      <c r="H214" s="16"/>
      <c r="I214" s="16"/>
      <c r="J214" s="16"/>
      <c r="K214" s="3"/>
      <c r="L214" s="3"/>
      <c r="M214" s="3"/>
      <c r="N214" s="3"/>
      <c r="O214" s="3"/>
      <c r="P214" s="3"/>
    </row>
    <row r="215" ht="22.5" hidden="1" customHeight="1">
      <c r="A215" s="16"/>
      <c r="B215" s="75"/>
      <c r="C215" s="16"/>
      <c r="D215" s="16"/>
      <c r="E215" s="74"/>
      <c r="F215" s="16"/>
      <c r="G215" s="29"/>
      <c r="H215" s="16"/>
      <c r="I215" s="16"/>
      <c r="J215" s="16"/>
      <c r="K215" s="3"/>
      <c r="L215" s="77"/>
      <c r="M215" s="3"/>
      <c r="N215" s="3"/>
      <c r="O215" s="3"/>
      <c r="P215" s="3"/>
    </row>
    <row r="216" ht="22.5" hidden="1" customHeight="1">
      <c r="A216" s="16"/>
      <c r="B216" s="75"/>
      <c r="C216" s="16"/>
      <c r="D216" s="16"/>
      <c r="E216" s="74"/>
      <c r="F216" s="16"/>
      <c r="G216" s="29"/>
      <c r="H216" s="16"/>
      <c r="I216" s="16"/>
      <c r="J216" s="16"/>
      <c r="K216" s="3"/>
      <c r="L216" s="3"/>
      <c r="M216" s="3"/>
      <c r="N216" s="3"/>
      <c r="O216" s="3"/>
      <c r="P216" s="3"/>
      <c r="R216" s="78"/>
    </row>
    <row r="217" ht="22.5" hidden="1" customHeight="1">
      <c r="A217" s="16"/>
      <c r="B217" s="75"/>
      <c r="C217" s="16"/>
      <c r="D217" s="16"/>
      <c r="E217" s="74"/>
      <c r="F217" s="16"/>
      <c r="G217" s="29"/>
      <c r="H217" s="16"/>
      <c r="I217" s="16"/>
      <c r="J217" s="16"/>
      <c r="K217" s="3"/>
      <c r="L217" s="3"/>
      <c r="M217" s="3"/>
      <c r="N217" s="3"/>
      <c r="O217" s="3"/>
      <c r="P217" s="3"/>
    </row>
    <row r="218" ht="22.5" hidden="1" customHeight="1">
      <c r="A218" s="16"/>
      <c r="B218" s="75"/>
      <c r="C218" s="16"/>
      <c r="D218" s="16"/>
      <c r="E218" s="74"/>
      <c r="F218" s="16"/>
      <c r="G218" s="29"/>
      <c r="H218" s="16"/>
      <c r="I218" s="16"/>
      <c r="J218" s="16"/>
      <c r="K218" s="3"/>
      <c r="L218" s="3"/>
      <c r="M218" s="3"/>
      <c r="N218" s="3"/>
      <c r="O218" s="3"/>
      <c r="P218" s="3"/>
    </row>
    <row r="219" ht="22.5" hidden="1" customHeight="1">
      <c r="A219" s="16"/>
      <c r="B219" s="75"/>
      <c r="C219" s="16"/>
      <c r="D219" s="16"/>
      <c r="E219" s="74"/>
      <c r="F219" s="16"/>
      <c r="G219" s="29"/>
      <c r="H219" s="16"/>
      <c r="I219" s="16"/>
      <c r="J219" s="16"/>
      <c r="K219" s="3"/>
      <c r="L219" s="3"/>
      <c r="M219" s="6"/>
      <c r="N219" s="3"/>
      <c r="O219" s="3"/>
      <c r="P219" s="3"/>
    </row>
    <row r="220" ht="22.5" hidden="1" customHeight="1">
      <c r="A220" s="16"/>
      <c r="B220" s="75"/>
      <c r="C220" s="16"/>
      <c r="D220" s="16"/>
      <c r="E220" s="74"/>
      <c r="F220" s="16"/>
      <c r="G220" s="29"/>
      <c r="H220" s="16"/>
      <c r="I220" s="16"/>
      <c r="J220" s="16"/>
      <c r="K220" s="3"/>
      <c r="L220" s="6"/>
      <c r="M220" s="3"/>
      <c r="N220" s="3"/>
      <c r="O220" s="3"/>
      <c r="P220" s="3"/>
    </row>
    <row r="221" ht="22.5" hidden="1" customHeight="1">
      <c r="A221" s="16"/>
      <c r="B221" s="75"/>
      <c r="C221" s="16"/>
      <c r="D221" s="16"/>
      <c r="E221" s="74"/>
      <c r="F221" s="16"/>
      <c r="G221" s="29"/>
      <c r="H221" s="16"/>
      <c r="I221" s="16"/>
      <c r="J221" s="16"/>
      <c r="K221" s="3"/>
      <c r="L221" s="3"/>
      <c r="M221" s="3"/>
      <c r="N221" s="3"/>
      <c r="O221" s="3"/>
      <c r="P221" s="3"/>
      <c r="S221" s="78"/>
    </row>
    <row r="222" ht="22.5" hidden="1" customHeight="1">
      <c r="A222" s="16"/>
      <c r="B222" s="75"/>
      <c r="C222" s="16"/>
      <c r="D222" s="16"/>
      <c r="E222" s="74"/>
      <c r="F222" s="16"/>
      <c r="G222" s="29"/>
      <c r="H222" s="16"/>
      <c r="I222" s="16"/>
      <c r="J222" s="16"/>
      <c r="K222" s="3"/>
      <c r="L222" s="3"/>
      <c r="M222" s="3"/>
      <c r="N222" s="3"/>
      <c r="O222" s="3"/>
      <c r="P222" s="3"/>
    </row>
    <row r="223" ht="22.5" hidden="1" customHeight="1">
      <c r="A223" s="16"/>
      <c r="B223" s="75"/>
      <c r="C223" s="16"/>
      <c r="D223" s="16"/>
      <c r="E223" s="74"/>
      <c r="F223" s="16"/>
      <c r="G223" s="29"/>
      <c r="H223" s="16"/>
      <c r="I223" s="16"/>
      <c r="J223" s="16"/>
      <c r="K223" s="3"/>
      <c r="L223" s="3"/>
      <c r="M223" s="3"/>
      <c r="N223" s="3"/>
      <c r="O223" s="3"/>
      <c r="P223" s="3"/>
    </row>
    <row r="224" ht="22.5" hidden="1" customHeight="1">
      <c r="A224" s="16"/>
      <c r="B224" s="75"/>
      <c r="C224" s="16"/>
      <c r="D224" s="16"/>
      <c r="E224" s="74"/>
      <c r="F224" s="16"/>
      <c r="G224" s="29"/>
      <c r="H224" s="16"/>
      <c r="I224" s="16"/>
      <c r="J224" s="16"/>
      <c r="K224" s="3"/>
      <c r="L224" s="6"/>
      <c r="M224" s="3"/>
      <c r="N224" s="6"/>
      <c r="O224" s="3"/>
      <c r="P224" s="6"/>
    </row>
    <row r="225" ht="22.5" hidden="1" customHeight="1">
      <c r="A225" s="16"/>
      <c r="B225" s="75"/>
      <c r="C225" s="16"/>
      <c r="D225" s="16"/>
      <c r="E225" s="74"/>
      <c r="F225" s="16"/>
      <c r="G225" s="29"/>
      <c r="H225" s="16"/>
      <c r="I225" s="16"/>
      <c r="J225" s="16"/>
      <c r="K225" s="3"/>
      <c r="L225" s="3"/>
      <c r="M225" s="3"/>
      <c r="N225" s="3"/>
      <c r="O225" s="3"/>
      <c r="P225" s="3"/>
    </row>
    <row r="226" ht="22.5" hidden="1" customHeight="1">
      <c r="A226" s="16"/>
      <c r="B226" s="75"/>
      <c r="C226" s="16"/>
      <c r="D226" s="16"/>
      <c r="E226" s="74"/>
      <c r="F226" s="16"/>
      <c r="G226" s="29"/>
      <c r="H226" s="16"/>
      <c r="I226" s="16"/>
      <c r="J226" s="16"/>
      <c r="K226" s="3"/>
      <c r="L226" s="3"/>
      <c r="M226" s="3"/>
      <c r="N226" s="3"/>
      <c r="O226" s="3"/>
      <c r="P226" s="3"/>
    </row>
    <row r="227" ht="22.5" hidden="1" customHeight="1">
      <c r="A227" s="16"/>
      <c r="B227" s="75"/>
      <c r="C227" s="16"/>
      <c r="D227" s="16"/>
      <c r="E227" s="74"/>
      <c r="F227" s="16"/>
      <c r="G227" s="29"/>
      <c r="H227" s="16"/>
      <c r="I227" s="16"/>
      <c r="J227" s="16"/>
      <c r="K227" s="3"/>
      <c r="L227" s="3"/>
      <c r="M227" s="3"/>
      <c r="N227" s="3"/>
      <c r="O227" s="3"/>
      <c r="P227" s="3"/>
    </row>
    <row r="228" ht="22.5" hidden="1" customHeight="1">
      <c r="A228" s="16"/>
      <c r="B228" s="75"/>
      <c r="C228" s="16"/>
      <c r="D228" s="16"/>
      <c r="E228" s="74"/>
      <c r="F228" s="16"/>
      <c r="G228" s="29"/>
      <c r="H228" s="16"/>
      <c r="I228" s="16"/>
      <c r="J228" s="16"/>
      <c r="K228" s="3"/>
      <c r="L228" s="3"/>
      <c r="M228" s="3"/>
      <c r="N228" s="3"/>
      <c r="O228" s="3"/>
      <c r="P228" s="3"/>
    </row>
    <row r="229" ht="22.5" hidden="1" customHeight="1">
      <c r="A229" s="16"/>
      <c r="B229" s="75"/>
      <c r="C229" s="16"/>
      <c r="D229" s="16"/>
      <c r="E229" s="74"/>
      <c r="F229" s="16"/>
      <c r="G229" s="29"/>
      <c r="H229" s="16"/>
      <c r="I229" s="16"/>
      <c r="J229" s="16"/>
      <c r="K229" s="3"/>
      <c r="L229" s="3"/>
      <c r="M229" s="3"/>
      <c r="N229" s="3"/>
      <c r="O229" s="3"/>
      <c r="P229" s="3"/>
    </row>
    <row r="230" ht="22.5" hidden="1" customHeight="1">
      <c r="A230" s="16"/>
      <c r="B230" s="75"/>
      <c r="C230" s="16"/>
      <c r="D230" s="16"/>
      <c r="E230" s="74"/>
      <c r="F230" s="16"/>
      <c r="G230" s="29"/>
      <c r="H230" s="16"/>
      <c r="I230" s="16"/>
      <c r="J230" s="16"/>
      <c r="K230" s="3"/>
      <c r="L230" s="6"/>
      <c r="M230" s="3"/>
      <c r="N230" s="3"/>
      <c r="O230" s="3"/>
      <c r="P230" s="3"/>
    </row>
    <row r="231" ht="22.5" hidden="1" customHeight="1">
      <c r="A231" s="16"/>
      <c r="B231" s="75"/>
      <c r="C231" s="16"/>
      <c r="D231" s="16"/>
      <c r="E231" s="74"/>
      <c r="F231" s="16"/>
      <c r="G231" s="29"/>
      <c r="H231" s="16"/>
      <c r="I231" s="16"/>
      <c r="J231" s="16"/>
      <c r="K231" s="3"/>
      <c r="L231" s="6"/>
      <c r="M231" s="3"/>
      <c r="N231" s="3"/>
      <c r="O231" s="3"/>
      <c r="P231" s="3"/>
    </row>
    <row r="232" ht="22.5" hidden="1" customHeight="1">
      <c r="A232" s="16"/>
      <c r="B232" s="75"/>
      <c r="C232" s="16"/>
      <c r="D232" s="16"/>
      <c r="E232" s="74"/>
      <c r="F232" s="16"/>
      <c r="G232" s="29"/>
      <c r="H232" s="16"/>
      <c r="I232" s="16"/>
      <c r="J232" s="16"/>
      <c r="K232" s="3"/>
      <c r="L232" s="6"/>
      <c r="M232" s="3"/>
      <c r="N232" s="3"/>
      <c r="O232" s="3"/>
      <c r="P232" s="3"/>
    </row>
    <row r="233" ht="22.5" hidden="1" customHeight="1">
      <c r="A233" s="16"/>
      <c r="B233" s="75"/>
      <c r="C233" s="16"/>
      <c r="D233" s="16"/>
      <c r="E233" s="74"/>
      <c r="F233" s="16"/>
      <c r="G233" s="29"/>
      <c r="H233" s="16"/>
      <c r="I233" s="16"/>
      <c r="J233" s="16"/>
      <c r="K233" s="3"/>
      <c r="L233" s="6"/>
      <c r="M233" s="3"/>
      <c r="N233" s="3"/>
      <c r="O233" s="3"/>
      <c r="P233" s="3"/>
    </row>
    <row r="234" ht="22.5" hidden="1" customHeight="1">
      <c r="A234" s="16"/>
      <c r="B234" s="75"/>
      <c r="C234" s="16"/>
      <c r="D234" s="16"/>
      <c r="E234" s="74"/>
      <c r="F234" s="16"/>
      <c r="G234" s="29"/>
      <c r="H234" s="16"/>
      <c r="I234" s="16"/>
      <c r="J234" s="16"/>
      <c r="K234" s="3"/>
      <c r="L234" s="6"/>
      <c r="M234" s="3"/>
      <c r="N234" s="3"/>
      <c r="O234" s="3"/>
      <c r="P234" s="3"/>
    </row>
    <row r="235" ht="22.5" hidden="1" customHeight="1">
      <c r="A235" s="16"/>
      <c r="B235" s="75"/>
      <c r="C235" s="16"/>
      <c r="D235" s="16"/>
      <c r="E235" s="74"/>
      <c r="F235" s="16"/>
      <c r="G235" s="29"/>
      <c r="H235" s="16"/>
      <c r="I235" s="16"/>
      <c r="J235" s="16"/>
      <c r="K235" s="3"/>
      <c r="L235" s="6"/>
      <c r="M235" s="3"/>
      <c r="N235" s="3"/>
      <c r="O235" s="3"/>
      <c r="P235" s="3"/>
    </row>
    <row r="236" ht="22.5" hidden="1" customHeight="1">
      <c r="A236" s="16"/>
      <c r="B236" s="75"/>
      <c r="C236" s="16"/>
      <c r="D236" s="16"/>
      <c r="E236" s="74"/>
      <c r="F236" s="16"/>
      <c r="G236" s="29"/>
      <c r="H236" s="16"/>
      <c r="I236" s="16"/>
      <c r="J236" s="16"/>
      <c r="K236" s="3"/>
      <c r="L236" s="6"/>
      <c r="M236" s="3"/>
      <c r="N236" s="3"/>
      <c r="O236" s="3"/>
      <c r="P236" s="3"/>
    </row>
    <row r="237" ht="22.5" hidden="1" customHeight="1">
      <c r="A237" s="16"/>
      <c r="B237" s="75"/>
      <c r="C237" s="16"/>
      <c r="D237" s="16"/>
      <c r="E237" s="74"/>
      <c r="F237" s="16"/>
      <c r="G237" s="29"/>
      <c r="H237" s="16"/>
      <c r="I237" s="16"/>
      <c r="J237" s="16"/>
      <c r="K237" s="3"/>
      <c r="L237" s="6"/>
      <c r="M237" s="3"/>
      <c r="N237" s="3"/>
      <c r="O237" s="3"/>
      <c r="P237" s="3"/>
    </row>
    <row r="238" ht="22.5" hidden="1" customHeight="1">
      <c r="A238" s="16"/>
      <c r="B238" s="75"/>
      <c r="C238" s="16"/>
      <c r="D238" s="16"/>
      <c r="E238" s="74"/>
      <c r="F238" s="16"/>
      <c r="G238" s="29"/>
      <c r="H238" s="16"/>
      <c r="I238" s="16"/>
      <c r="J238" s="16"/>
      <c r="K238" s="3"/>
      <c r="L238" s="6"/>
      <c r="M238" s="3"/>
      <c r="N238" s="3"/>
      <c r="O238" s="3"/>
      <c r="P238" s="3"/>
    </row>
    <row r="239" ht="22.5" hidden="1" customHeight="1">
      <c r="A239" s="16"/>
      <c r="B239" s="75"/>
      <c r="C239" s="16"/>
      <c r="D239" s="16"/>
      <c r="E239" s="74"/>
      <c r="F239" s="16"/>
      <c r="G239" s="29"/>
      <c r="H239" s="16"/>
      <c r="I239" s="16"/>
      <c r="J239" s="16"/>
      <c r="K239" s="3"/>
      <c r="L239" s="6"/>
      <c r="M239" s="3"/>
      <c r="N239" s="3"/>
      <c r="O239" s="3"/>
      <c r="P239" s="3"/>
    </row>
    <row r="240" ht="22.5" hidden="1" customHeight="1">
      <c r="A240" s="16"/>
      <c r="B240" s="75"/>
      <c r="C240" s="16"/>
      <c r="D240" s="16"/>
      <c r="E240" s="74"/>
      <c r="F240" s="16"/>
      <c r="G240" s="29"/>
      <c r="H240" s="16"/>
      <c r="I240" s="16"/>
      <c r="J240" s="16"/>
      <c r="K240" s="3"/>
      <c r="L240" s="3"/>
      <c r="M240" s="3"/>
      <c r="N240" s="3"/>
      <c r="O240" s="3"/>
      <c r="P240" s="3"/>
    </row>
    <row r="241" ht="22.5" hidden="1" customHeight="1">
      <c r="A241" s="16"/>
      <c r="B241" s="75"/>
      <c r="C241" s="16"/>
      <c r="D241" s="16"/>
      <c r="E241" s="74"/>
      <c r="F241" s="16"/>
      <c r="G241" s="29"/>
      <c r="H241" s="16"/>
      <c r="I241" s="16"/>
      <c r="J241" s="16"/>
      <c r="K241" s="3"/>
      <c r="L241" s="3"/>
      <c r="M241" s="3"/>
      <c r="N241" s="3"/>
      <c r="O241" s="3"/>
      <c r="P241" s="3"/>
    </row>
    <row r="242" ht="22.5" hidden="1" customHeight="1">
      <c r="A242" s="16"/>
      <c r="B242" s="75"/>
      <c r="C242" s="16"/>
      <c r="D242" s="16"/>
      <c r="E242" s="74"/>
      <c r="F242" s="16"/>
      <c r="G242" s="29"/>
      <c r="H242" s="16"/>
      <c r="I242" s="16"/>
      <c r="J242" s="16"/>
      <c r="K242" s="3"/>
      <c r="L242" s="3"/>
      <c r="M242" s="3"/>
      <c r="N242" s="3"/>
      <c r="O242" s="3"/>
      <c r="P242" s="3"/>
    </row>
    <row r="243" ht="22.5" hidden="1" customHeight="1">
      <c r="A243" s="16"/>
      <c r="B243" s="75"/>
      <c r="C243" s="16"/>
      <c r="D243" s="16"/>
      <c r="E243" s="74"/>
      <c r="F243" s="16"/>
      <c r="G243" s="29"/>
      <c r="H243" s="16"/>
      <c r="I243" s="16"/>
      <c r="J243" s="16"/>
      <c r="K243" s="3"/>
      <c r="L243" s="3"/>
      <c r="M243" s="3"/>
      <c r="N243" s="3"/>
      <c r="O243" s="3"/>
      <c r="P243" s="3"/>
    </row>
    <row r="244" ht="22.5" hidden="1" customHeight="1">
      <c r="A244" s="16"/>
      <c r="B244" s="75"/>
      <c r="C244" s="16"/>
      <c r="D244" s="16"/>
      <c r="E244" s="74"/>
      <c r="F244" s="16"/>
      <c r="G244" s="29"/>
      <c r="H244" s="16"/>
      <c r="I244" s="16"/>
      <c r="J244" s="16"/>
      <c r="K244" s="3"/>
      <c r="L244" s="3"/>
      <c r="M244" s="3"/>
      <c r="N244" s="3"/>
      <c r="O244" s="3"/>
      <c r="P244" s="3"/>
    </row>
    <row r="245" ht="22.5" hidden="1" customHeight="1">
      <c r="A245" s="16"/>
      <c r="B245" s="75"/>
      <c r="C245" s="16"/>
      <c r="D245" s="16"/>
      <c r="E245" s="74"/>
      <c r="F245" s="16"/>
      <c r="G245" s="29"/>
      <c r="H245" s="16"/>
      <c r="I245" s="16"/>
      <c r="J245" s="16"/>
      <c r="K245" s="3"/>
      <c r="L245" s="3"/>
      <c r="M245" s="3"/>
      <c r="N245" s="3"/>
      <c r="O245" s="3"/>
      <c r="P245" s="3"/>
    </row>
    <row r="246" ht="22.5" hidden="1" customHeight="1">
      <c r="A246" s="16"/>
      <c r="B246" s="75"/>
      <c r="C246" s="16"/>
      <c r="D246" s="16"/>
      <c r="E246" s="74"/>
      <c r="F246" s="16"/>
      <c r="G246" s="29"/>
      <c r="H246" s="16"/>
      <c r="I246" s="16"/>
      <c r="J246" s="16"/>
      <c r="K246" s="3"/>
      <c r="L246" s="3"/>
      <c r="M246" s="3"/>
      <c r="N246" s="3"/>
      <c r="O246" s="3"/>
      <c r="P246" s="3"/>
    </row>
    <row r="247" ht="22.5" hidden="1" customHeight="1">
      <c r="A247" s="16"/>
      <c r="B247" s="75"/>
      <c r="C247" s="16"/>
      <c r="D247" s="16"/>
      <c r="E247" s="74"/>
      <c r="F247" s="16"/>
      <c r="G247" s="29"/>
      <c r="H247" s="16"/>
      <c r="I247" s="16"/>
      <c r="J247" s="16"/>
      <c r="K247" s="3"/>
      <c r="L247" s="3"/>
      <c r="M247" s="3"/>
      <c r="N247" s="3"/>
      <c r="O247" s="3"/>
      <c r="P247" s="3"/>
    </row>
    <row r="248" ht="22.5" hidden="1" customHeight="1">
      <c r="A248" s="16"/>
      <c r="B248" s="75"/>
      <c r="C248" s="16"/>
      <c r="D248" s="16"/>
      <c r="E248" s="74"/>
      <c r="F248" s="16"/>
      <c r="G248" s="29"/>
      <c r="H248" s="16"/>
      <c r="I248" s="16"/>
      <c r="J248" s="16"/>
      <c r="K248" s="3"/>
      <c r="L248" s="3"/>
      <c r="M248" s="3"/>
      <c r="N248" s="3"/>
      <c r="O248" s="3"/>
      <c r="P248" s="3"/>
    </row>
    <row r="249" ht="22.5" hidden="1" customHeight="1">
      <c r="A249" s="16"/>
      <c r="B249" s="75"/>
      <c r="C249" s="16"/>
      <c r="D249" s="16"/>
      <c r="E249" s="74"/>
      <c r="F249" s="16"/>
      <c r="G249" s="29"/>
      <c r="H249" s="16"/>
      <c r="I249" s="16"/>
      <c r="J249" s="16"/>
      <c r="K249" s="3"/>
      <c r="L249" s="3"/>
      <c r="M249" s="3"/>
      <c r="N249" s="3"/>
      <c r="O249" s="3"/>
      <c r="P249" s="3"/>
    </row>
    <row r="250" ht="22.5" hidden="1" customHeight="1">
      <c r="A250" s="16"/>
      <c r="B250" s="75"/>
      <c r="C250" s="16"/>
      <c r="D250" s="16"/>
      <c r="E250" s="74"/>
      <c r="F250" s="16"/>
      <c r="G250" s="29"/>
      <c r="H250" s="16"/>
      <c r="I250" s="16"/>
      <c r="J250" s="16"/>
      <c r="K250" s="3"/>
      <c r="L250" s="3"/>
      <c r="M250" s="3"/>
      <c r="N250" s="3"/>
      <c r="O250" s="3"/>
      <c r="P250" s="3"/>
    </row>
    <row r="251" ht="22.5" hidden="1" customHeight="1">
      <c r="A251" s="16"/>
      <c r="B251" s="75"/>
      <c r="C251" s="16"/>
      <c r="D251" s="16"/>
      <c r="E251" s="74"/>
      <c r="F251" s="16"/>
      <c r="G251" s="29"/>
      <c r="H251" s="16"/>
      <c r="I251" s="16"/>
      <c r="J251" s="16"/>
      <c r="K251" s="3"/>
      <c r="L251" s="3"/>
      <c r="M251" s="3"/>
      <c r="N251" s="3"/>
      <c r="O251" s="3"/>
      <c r="P251" s="3"/>
    </row>
    <row r="252" ht="22.5" hidden="1" customHeight="1">
      <c r="A252" s="16"/>
      <c r="B252" s="75"/>
      <c r="C252" s="16"/>
      <c r="D252" s="16"/>
      <c r="E252" s="74"/>
      <c r="F252" s="16"/>
      <c r="G252" s="29"/>
      <c r="H252" s="16"/>
      <c r="I252" s="16"/>
      <c r="J252" s="16"/>
      <c r="K252" s="3"/>
      <c r="L252" s="3"/>
      <c r="M252" s="3"/>
      <c r="N252" s="3"/>
      <c r="O252" s="3"/>
      <c r="P252" s="3"/>
    </row>
    <row r="253" ht="22.5" hidden="1" customHeight="1">
      <c r="A253" s="16"/>
      <c r="B253" s="75"/>
      <c r="C253" s="16"/>
      <c r="D253" s="16"/>
      <c r="E253" s="74"/>
      <c r="F253" s="16"/>
      <c r="G253" s="29"/>
      <c r="H253" s="16"/>
      <c r="I253" s="16"/>
      <c r="J253" s="16"/>
      <c r="K253" s="3"/>
      <c r="L253" s="3"/>
      <c r="M253" s="3"/>
      <c r="N253" s="3"/>
      <c r="O253" s="3"/>
      <c r="P253" s="3"/>
    </row>
    <row r="254" ht="22.5" hidden="1" customHeight="1">
      <c r="A254" s="16"/>
      <c r="B254" s="75"/>
      <c r="C254" s="16"/>
      <c r="D254" s="16"/>
      <c r="E254" s="74"/>
      <c r="F254" s="16"/>
      <c r="G254" s="29"/>
      <c r="H254" s="16"/>
      <c r="I254" s="16"/>
      <c r="J254" s="16"/>
      <c r="K254" s="3"/>
      <c r="L254" s="3"/>
      <c r="M254" s="3"/>
      <c r="N254" s="3"/>
      <c r="O254" s="3"/>
      <c r="P254" s="3"/>
    </row>
    <row r="255" ht="22.5" hidden="1" customHeight="1">
      <c r="A255" s="16"/>
      <c r="B255" s="75"/>
      <c r="C255" s="16"/>
      <c r="D255" s="16"/>
      <c r="E255" s="74"/>
      <c r="F255" s="16"/>
      <c r="G255" s="29"/>
      <c r="H255" s="16"/>
      <c r="I255" s="16"/>
      <c r="J255" s="16"/>
      <c r="K255" s="3"/>
      <c r="L255" s="3"/>
      <c r="M255" s="3"/>
      <c r="N255" s="3"/>
      <c r="O255" s="3"/>
      <c r="P255" s="3"/>
    </row>
    <row r="256" ht="22.5" hidden="1" customHeight="1">
      <c r="A256" s="16"/>
      <c r="B256" s="75"/>
      <c r="C256" s="16"/>
      <c r="D256" s="16"/>
      <c r="E256" s="74"/>
      <c r="F256" s="16"/>
      <c r="G256" s="29"/>
      <c r="H256" s="16"/>
      <c r="I256" s="16"/>
      <c r="J256" s="16"/>
      <c r="K256" s="3"/>
      <c r="L256" s="3"/>
      <c r="M256" s="3"/>
      <c r="N256" s="3"/>
      <c r="O256" s="3"/>
      <c r="P256" s="3"/>
    </row>
    <row r="257" ht="22.5" hidden="1" customHeight="1">
      <c r="A257" s="16"/>
      <c r="B257" s="75"/>
      <c r="C257" s="16"/>
      <c r="D257" s="16"/>
      <c r="E257" s="74"/>
      <c r="F257" s="16"/>
      <c r="G257" s="29"/>
      <c r="H257" s="16"/>
      <c r="I257" s="16"/>
      <c r="J257" s="16"/>
      <c r="K257" s="3"/>
      <c r="L257" s="3"/>
      <c r="M257" s="3"/>
      <c r="N257" s="3"/>
      <c r="O257" s="3"/>
      <c r="P257" s="3"/>
    </row>
    <row r="258" ht="22.5" hidden="1" customHeight="1">
      <c r="A258" s="16"/>
      <c r="B258" s="75"/>
      <c r="C258" s="16"/>
      <c r="D258" s="16"/>
      <c r="E258" s="74"/>
      <c r="F258" s="16"/>
      <c r="G258" s="29"/>
      <c r="H258" s="16"/>
      <c r="I258" s="16"/>
      <c r="J258" s="16"/>
      <c r="K258" s="3"/>
      <c r="L258" s="3"/>
      <c r="M258" s="3"/>
      <c r="N258" s="3"/>
      <c r="O258" s="3"/>
      <c r="P258" s="3"/>
    </row>
    <row r="259" ht="22.5" hidden="1" customHeight="1">
      <c r="A259" s="16"/>
      <c r="B259" s="75"/>
      <c r="C259" s="16"/>
      <c r="D259" s="16"/>
      <c r="E259" s="74"/>
      <c r="F259" s="16"/>
      <c r="G259" s="29"/>
      <c r="H259" s="16"/>
      <c r="I259" s="16"/>
      <c r="J259" s="16"/>
      <c r="K259" s="3"/>
      <c r="L259" s="3"/>
      <c r="M259" s="3"/>
      <c r="N259" s="3"/>
      <c r="O259" s="3"/>
      <c r="P259" s="3"/>
    </row>
    <row r="260" ht="22.5" hidden="1" customHeight="1">
      <c r="A260" s="16"/>
      <c r="B260" s="75"/>
      <c r="C260" s="16"/>
      <c r="D260" s="16"/>
      <c r="E260" s="74"/>
      <c r="F260" s="16"/>
      <c r="G260" s="29"/>
      <c r="H260" s="16"/>
      <c r="I260" s="16"/>
      <c r="J260" s="16"/>
      <c r="K260" s="3"/>
      <c r="L260" s="3"/>
      <c r="M260" s="3"/>
      <c r="N260" s="3"/>
      <c r="O260" s="3"/>
      <c r="P260" s="3"/>
    </row>
    <row r="261" ht="22.5" hidden="1" customHeight="1">
      <c r="A261" s="16"/>
      <c r="B261" s="75"/>
      <c r="C261" s="16"/>
      <c r="D261" s="16"/>
      <c r="E261" s="74"/>
      <c r="F261" s="16"/>
      <c r="G261" s="29"/>
      <c r="H261" s="16"/>
      <c r="I261" s="16"/>
      <c r="J261" s="16"/>
      <c r="K261" s="3"/>
      <c r="L261" s="3"/>
      <c r="M261" s="3"/>
      <c r="N261" s="3"/>
      <c r="O261" s="3"/>
      <c r="P261" s="3"/>
    </row>
    <row r="262" ht="22.5" hidden="1" customHeight="1">
      <c r="A262" s="16"/>
      <c r="B262" s="75"/>
      <c r="C262" s="16"/>
      <c r="D262" s="16"/>
      <c r="E262" s="74"/>
      <c r="F262" s="16"/>
      <c r="G262" s="29"/>
      <c r="H262" s="16"/>
      <c r="I262" s="16"/>
      <c r="J262" s="16"/>
      <c r="K262" s="3"/>
      <c r="L262" s="3"/>
      <c r="M262" s="3"/>
      <c r="N262" s="3"/>
      <c r="O262" s="3"/>
      <c r="P262" s="3"/>
    </row>
    <row r="263" ht="22.5" hidden="1" customHeight="1">
      <c r="A263" s="16"/>
      <c r="B263" s="75"/>
      <c r="C263" s="16"/>
      <c r="D263" s="16"/>
      <c r="E263" s="74"/>
      <c r="F263" s="16"/>
      <c r="G263" s="29"/>
      <c r="H263" s="16"/>
      <c r="I263" s="16"/>
      <c r="J263" s="16"/>
      <c r="K263" s="3"/>
      <c r="L263" s="3"/>
      <c r="M263" s="3"/>
      <c r="N263" s="3"/>
      <c r="O263" s="3"/>
      <c r="P263" s="3"/>
    </row>
    <row r="264" ht="22.5" hidden="1" customHeight="1">
      <c r="A264" s="16"/>
      <c r="B264" s="75"/>
      <c r="C264" s="16"/>
      <c r="D264" s="16"/>
      <c r="E264" s="74"/>
      <c r="F264" s="16"/>
      <c r="G264" s="29"/>
      <c r="H264" s="16"/>
      <c r="I264" s="16"/>
      <c r="J264" s="16"/>
      <c r="K264" s="3"/>
      <c r="L264" s="3"/>
      <c r="M264" s="3"/>
      <c r="N264" s="3"/>
      <c r="O264" s="3"/>
      <c r="P264" s="3"/>
    </row>
    <row r="265" ht="22.5" hidden="1" customHeight="1">
      <c r="A265" s="16"/>
      <c r="B265" s="75"/>
      <c r="C265" s="16"/>
      <c r="D265" s="16"/>
      <c r="E265" s="74"/>
      <c r="F265" s="16"/>
      <c r="G265" s="29"/>
      <c r="H265" s="16"/>
      <c r="I265" s="16"/>
      <c r="J265" s="16"/>
      <c r="K265" s="3"/>
      <c r="L265" s="3"/>
      <c r="M265" s="3"/>
      <c r="N265" s="3"/>
      <c r="O265" s="3"/>
      <c r="P265" s="3"/>
    </row>
    <row r="266" ht="22.5" hidden="1" customHeight="1">
      <c r="A266" s="16"/>
      <c r="B266" s="75"/>
      <c r="C266" s="16"/>
      <c r="D266" s="16"/>
      <c r="E266" s="74"/>
      <c r="F266" s="16"/>
      <c r="G266" s="29"/>
      <c r="H266" s="16"/>
      <c r="I266" s="16"/>
      <c r="J266" s="16"/>
      <c r="K266" s="3"/>
      <c r="L266" s="3"/>
      <c r="M266" s="3"/>
      <c r="N266" s="3"/>
      <c r="O266" s="3"/>
      <c r="P266" s="3"/>
    </row>
    <row r="267" ht="22.5" hidden="1" customHeight="1">
      <c r="A267" s="16"/>
      <c r="B267" s="75"/>
      <c r="C267" s="16"/>
      <c r="D267" s="16"/>
      <c r="E267" s="74"/>
      <c r="F267" s="16"/>
      <c r="G267" s="29"/>
      <c r="H267" s="16"/>
      <c r="I267" s="16"/>
      <c r="J267" s="16"/>
      <c r="K267" s="3"/>
      <c r="L267" s="3"/>
      <c r="M267" s="3"/>
      <c r="N267" s="3"/>
      <c r="O267" s="3"/>
      <c r="P267" s="3"/>
    </row>
    <row r="268" ht="22.5" hidden="1" customHeight="1">
      <c r="A268" s="16"/>
      <c r="B268" s="75"/>
      <c r="C268" s="16"/>
      <c r="D268" s="16"/>
      <c r="E268" s="74"/>
      <c r="F268" s="16"/>
      <c r="G268" s="29"/>
      <c r="H268" s="16"/>
      <c r="I268" s="16"/>
      <c r="J268" s="16"/>
      <c r="K268" s="3"/>
      <c r="L268" s="3"/>
      <c r="M268" s="3"/>
      <c r="N268" s="3"/>
      <c r="O268" s="3"/>
      <c r="P268" s="3"/>
    </row>
    <row r="269" ht="22.5" hidden="1" customHeight="1">
      <c r="A269" s="16"/>
      <c r="B269" s="75"/>
      <c r="C269" s="16"/>
      <c r="D269" s="16"/>
      <c r="E269" s="74"/>
      <c r="F269" s="16"/>
      <c r="G269" s="29"/>
      <c r="H269" s="16"/>
      <c r="I269" s="16"/>
      <c r="J269" s="16"/>
      <c r="K269" s="3"/>
      <c r="L269" s="3"/>
      <c r="M269" s="3"/>
      <c r="N269" s="3"/>
      <c r="O269" s="3"/>
      <c r="P269" s="3"/>
    </row>
    <row r="270" ht="22.5" hidden="1" customHeight="1">
      <c r="A270" s="16"/>
      <c r="B270" s="75"/>
      <c r="C270" s="16"/>
      <c r="D270" s="16"/>
      <c r="E270" s="74"/>
      <c r="F270" s="16"/>
      <c r="G270" s="29"/>
      <c r="H270" s="16"/>
      <c r="I270" s="16"/>
      <c r="J270" s="16"/>
      <c r="K270" s="3"/>
      <c r="L270" s="3"/>
      <c r="M270" s="3"/>
      <c r="N270" s="3"/>
      <c r="O270" s="3"/>
      <c r="P270" s="3"/>
    </row>
    <row r="271" ht="22.5" hidden="1" customHeight="1">
      <c r="A271" s="16"/>
      <c r="B271" s="75"/>
      <c r="C271" s="16"/>
      <c r="D271" s="16"/>
      <c r="E271" s="74"/>
      <c r="F271" s="16"/>
      <c r="G271" s="29"/>
      <c r="H271" s="16"/>
      <c r="I271" s="16"/>
      <c r="J271" s="16"/>
      <c r="K271" s="3"/>
      <c r="L271" s="3"/>
      <c r="M271" s="3"/>
      <c r="N271" s="3"/>
      <c r="O271" s="3"/>
      <c r="P271" s="3"/>
    </row>
    <row r="272" ht="22.5" hidden="1" customHeight="1">
      <c r="A272" s="16"/>
      <c r="B272" s="75"/>
      <c r="C272" s="16"/>
      <c r="D272" s="16"/>
      <c r="E272" s="74"/>
      <c r="F272" s="16"/>
      <c r="G272" s="29"/>
      <c r="H272" s="16"/>
      <c r="I272" s="16"/>
      <c r="J272" s="16"/>
      <c r="K272" s="3"/>
      <c r="L272" s="3"/>
      <c r="M272" s="3"/>
      <c r="N272" s="3"/>
      <c r="O272" s="3"/>
      <c r="P272" s="3"/>
    </row>
    <row r="273" ht="22.5" hidden="1" customHeight="1">
      <c r="A273" s="16"/>
      <c r="B273" s="75"/>
      <c r="C273" s="16"/>
      <c r="D273" s="16"/>
      <c r="E273" s="74"/>
      <c r="F273" s="16"/>
      <c r="G273" s="29"/>
      <c r="H273" s="16"/>
      <c r="I273" s="16"/>
      <c r="J273" s="16"/>
      <c r="K273" s="3"/>
      <c r="L273" s="3"/>
      <c r="M273" s="3"/>
      <c r="N273" s="3"/>
      <c r="O273" s="3"/>
      <c r="P273" s="3"/>
    </row>
    <row r="274" ht="22.5" hidden="1" customHeight="1">
      <c r="A274" s="16"/>
      <c r="B274" s="75"/>
      <c r="C274" s="16"/>
      <c r="D274" s="16"/>
      <c r="E274" s="74"/>
      <c r="F274" s="16"/>
      <c r="G274" s="29"/>
      <c r="H274" s="16"/>
      <c r="I274" s="16"/>
      <c r="J274" s="16"/>
      <c r="K274" s="3"/>
      <c r="L274" s="3"/>
      <c r="M274" s="3"/>
      <c r="N274" s="3"/>
      <c r="O274" s="3"/>
      <c r="P274" s="3"/>
    </row>
    <row r="275" ht="22.5" hidden="1" customHeight="1">
      <c r="A275" s="16"/>
      <c r="B275" s="75"/>
      <c r="C275" s="16"/>
      <c r="D275" s="16"/>
      <c r="E275" s="74"/>
      <c r="F275" s="16"/>
      <c r="G275" s="29"/>
      <c r="H275" s="16"/>
      <c r="I275" s="16"/>
      <c r="J275" s="16"/>
      <c r="K275" s="3"/>
      <c r="L275" s="3"/>
      <c r="M275" s="3"/>
      <c r="N275" s="3"/>
      <c r="O275" s="3"/>
      <c r="P275" s="3"/>
    </row>
    <row r="276" ht="22.5" hidden="1" customHeight="1">
      <c r="A276" s="16"/>
      <c r="B276" s="75"/>
      <c r="C276" s="16"/>
      <c r="D276" s="16"/>
      <c r="E276" s="74"/>
      <c r="F276" s="16"/>
      <c r="G276" s="29"/>
      <c r="H276" s="16"/>
      <c r="I276" s="16"/>
      <c r="J276" s="16"/>
      <c r="K276" s="3"/>
      <c r="L276" s="3"/>
      <c r="M276" s="3"/>
      <c r="N276" s="3"/>
      <c r="O276" s="3"/>
      <c r="P276" s="3"/>
    </row>
    <row r="277" ht="22.5" hidden="1" customHeight="1">
      <c r="A277" s="16"/>
      <c r="B277" s="75"/>
      <c r="C277" s="16"/>
      <c r="D277" s="16"/>
      <c r="E277" s="74"/>
      <c r="F277" s="16"/>
      <c r="G277" s="29"/>
      <c r="H277" s="16"/>
      <c r="I277" s="16"/>
      <c r="J277" s="16"/>
      <c r="K277" s="3"/>
      <c r="L277" s="3"/>
      <c r="M277" s="3"/>
      <c r="N277" s="3"/>
      <c r="O277" s="3"/>
      <c r="P277" s="3"/>
    </row>
    <row r="278" ht="22.5" hidden="1" customHeight="1">
      <c r="A278" s="16"/>
      <c r="B278" s="75"/>
      <c r="C278" s="16"/>
      <c r="D278" s="16"/>
      <c r="E278" s="74"/>
      <c r="F278" s="16"/>
      <c r="G278" s="29"/>
      <c r="H278" s="16"/>
      <c r="I278" s="16"/>
      <c r="J278" s="16"/>
      <c r="K278" s="3"/>
      <c r="L278" s="3"/>
      <c r="M278" s="3"/>
      <c r="N278" s="3"/>
      <c r="O278" s="3"/>
      <c r="P278" s="3"/>
    </row>
    <row r="279" ht="22.5" hidden="1" customHeight="1">
      <c r="A279" s="16"/>
      <c r="B279" s="75"/>
      <c r="C279" s="16"/>
      <c r="D279" s="16"/>
      <c r="E279" s="74"/>
      <c r="F279" s="16"/>
      <c r="G279" s="29"/>
      <c r="H279" s="16"/>
      <c r="I279" s="16"/>
      <c r="J279" s="16"/>
      <c r="K279" s="3"/>
      <c r="L279" s="3"/>
      <c r="M279" s="3"/>
      <c r="N279" s="3"/>
      <c r="O279" s="3"/>
      <c r="P279" s="3"/>
    </row>
    <row r="280" ht="22.5" hidden="1" customHeight="1">
      <c r="A280" s="16"/>
      <c r="B280" s="75"/>
      <c r="C280" s="16"/>
      <c r="D280" s="16"/>
      <c r="E280" s="74"/>
      <c r="F280" s="16"/>
      <c r="G280" s="29"/>
      <c r="H280" s="16"/>
      <c r="I280" s="16"/>
      <c r="J280" s="16"/>
      <c r="K280" s="3"/>
      <c r="L280" s="3"/>
      <c r="M280" s="3"/>
      <c r="N280" s="3"/>
      <c r="O280" s="3"/>
      <c r="P280" s="3"/>
    </row>
    <row r="281" ht="22.5" hidden="1" customHeight="1">
      <c r="A281" s="16"/>
      <c r="B281" s="75"/>
      <c r="C281" s="16"/>
      <c r="D281" s="16"/>
      <c r="E281" s="74"/>
      <c r="F281" s="16"/>
      <c r="G281" s="29"/>
      <c r="H281" s="16"/>
      <c r="I281" s="16"/>
      <c r="J281" s="16"/>
      <c r="K281" s="3"/>
      <c r="L281" s="3"/>
      <c r="M281" s="3"/>
      <c r="N281" s="3"/>
      <c r="O281" s="3"/>
      <c r="P281" s="3"/>
    </row>
    <row r="282" ht="22.5" hidden="1" customHeight="1">
      <c r="A282" s="16"/>
      <c r="B282" s="75"/>
      <c r="C282" s="16"/>
      <c r="D282" s="16"/>
      <c r="E282" s="74"/>
      <c r="F282" s="16"/>
      <c r="G282" s="29"/>
      <c r="H282" s="16"/>
      <c r="I282" s="16"/>
      <c r="J282" s="16"/>
      <c r="K282" s="3"/>
      <c r="L282" s="3"/>
      <c r="M282" s="3"/>
      <c r="N282" s="3"/>
      <c r="O282" s="3"/>
      <c r="P282" s="3"/>
    </row>
    <row r="283" ht="22.5" hidden="1" customHeight="1">
      <c r="A283" s="16"/>
      <c r="B283" s="75"/>
      <c r="C283" s="16"/>
      <c r="D283" s="16"/>
      <c r="E283" s="74"/>
      <c r="F283" s="16"/>
      <c r="G283" s="29"/>
      <c r="H283" s="16"/>
      <c r="I283" s="16"/>
      <c r="J283" s="16"/>
      <c r="K283" s="3"/>
      <c r="L283" s="3"/>
      <c r="M283" s="3"/>
      <c r="N283" s="3"/>
      <c r="O283" s="3"/>
      <c r="P283" s="3"/>
    </row>
    <row r="284" ht="22.5" hidden="1" customHeight="1">
      <c r="A284" s="16"/>
      <c r="B284" s="75"/>
      <c r="C284" s="16"/>
      <c r="D284" s="16"/>
      <c r="E284" s="74"/>
      <c r="F284" s="16"/>
      <c r="G284" s="29"/>
      <c r="H284" s="16"/>
      <c r="I284" s="16"/>
      <c r="J284" s="16"/>
      <c r="K284" s="3"/>
      <c r="L284" s="3"/>
      <c r="M284" s="3"/>
      <c r="N284" s="3"/>
      <c r="O284" s="3"/>
      <c r="P284" s="3"/>
    </row>
    <row r="285" ht="22.5" hidden="1" customHeight="1">
      <c r="A285" s="16"/>
      <c r="B285" s="75"/>
      <c r="C285" s="16"/>
      <c r="D285" s="16"/>
      <c r="E285" s="74"/>
      <c r="F285" s="16"/>
      <c r="G285" s="29"/>
      <c r="H285" s="16"/>
      <c r="I285" s="16"/>
      <c r="J285" s="16"/>
      <c r="K285" s="3"/>
      <c r="L285" s="3"/>
      <c r="M285" s="3"/>
      <c r="N285" s="3"/>
      <c r="O285" s="3"/>
      <c r="P285" s="3"/>
    </row>
    <row r="286" ht="22.5" hidden="1" customHeight="1">
      <c r="A286" s="16"/>
      <c r="B286" s="75"/>
      <c r="C286" s="16"/>
      <c r="D286" s="16"/>
      <c r="E286" s="74"/>
      <c r="F286" s="16"/>
      <c r="G286" s="29"/>
      <c r="H286" s="16"/>
      <c r="I286" s="16"/>
      <c r="J286" s="16"/>
      <c r="K286" s="3"/>
      <c r="L286" s="3"/>
      <c r="M286" s="3"/>
      <c r="N286" s="3"/>
      <c r="O286" s="3"/>
      <c r="P286" s="3"/>
    </row>
    <row r="287" ht="22.5" hidden="1" customHeight="1">
      <c r="A287" s="16"/>
      <c r="B287" s="75"/>
      <c r="C287" s="16"/>
      <c r="D287" s="16"/>
      <c r="E287" s="74"/>
      <c r="F287" s="16"/>
      <c r="G287" s="29"/>
      <c r="H287" s="16"/>
      <c r="I287" s="16"/>
      <c r="J287" s="16"/>
      <c r="K287" s="3"/>
      <c r="L287" s="3"/>
      <c r="M287" s="3"/>
      <c r="N287" s="3"/>
      <c r="O287" s="3"/>
      <c r="P287" s="3"/>
    </row>
    <row r="288" ht="22.5" hidden="1" customHeight="1">
      <c r="A288" s="16"/>
      <c r="B288" s="75"/>
      <c r="C288" s="16"/>
      <c r="D288" s="16"/>
      <c r="E288" s="74"/>
      <c r="F288" s="16"/>
      <c r="G288" s="29"/>
      <c r="H288" s="16"/>
      <c r="I288" s="16"/>
      <c r="J288" s="16"/>
      <c r="K288" s="3"/>
      <c r="L288" s="3"/>
      <c r="M288" s="3"/>
      <c r="N288" s="3"/>
      <c r="O288" s="3"/>
      <c r="P288" s="3"/>
    </row>
    <row r="289" ht="22.5" hidden="1" customHeight="1">
      <c r="A289" s="16"/>
      <c r="B289" s="75"/>
      <c r="C289" s="16"/>
      <c r="D289" s="76"/>
      <c r="E289" s="74"/>
      <c r="F289" s="16"/>
      <c r="G289" s="29"/>
      <c r="H289" s="16"/>
      <c r="I289" s="16"/>
      <c r="J289" s="16"/>
      <c r="K289" s="3"/>
      <c r="L289" s="3"/>
      <c r="M289" s="3"/>
      <c r="N289" s="3"/>
      <c r="O289" s="3"/>
      <c r="P289" s="3"/>
    </row>
    <row r="290" ht="22.5" hidden="1" customHeight="1">
      <c r="A290" s="16"/>
      <c r="B290" s="75"/>
      <c r="C290" s="16"/>
      <c r="D290" s="16"/>
      <c r="E290" s="74"/>
      <c r="F290" s="16"/>
      <c r="G290" s="29"/>
      <c r="H290" s="16"/>
      <c r="I290" s="16"/>
      <c r="J290" s="16"/>
      <c r="K290" s="3"/>
      <c r="L290" s="3"/>
      <c r="M290" s="3"/>
      <c r="N290" s="3"/>
      <c r="O290" s="3"/>
      <c r="P290" s="3"/>
    </row>
    <row r="291" ht="22.5" hidden="1" customHeight="1">
      <c r="A291" s="16"/>
      <c r="B291" s="75"/>
      <c r="C291" s="16"/>
      <c r="D291" s="16"/>
      <c r="E291" s="74"/>
      <c r="F291" s="16"/>
      <c r="G291" s="29"/>
      <c r="H291" s="16"/>
      <c r="I291" s="16"/>
      <c r="J291" s="16"/>
      <c r="K291" s="3"/>
      <c r="L291" s="3"/>
      <c r="M291" s="3"/>
      <c r="N291" s="3"/>
      <c r="O291" s="3"/>
      <c r="P291" s="3"/>
    </row>
    <row r="292" ht="22.5" hidden="1" customHeight="1">
      <c r="A292" s="16"/>
      <c r="B292" s="75"/>
      <c r="C292" s="16"/>
      <c r="D292" s="16"/>
      <c r="E292" s="74"/>
      <c r="F292" s="16"/>
      <c r="G292" s="29"/>
      <c r="H292" s="16"/>
      <c r="I292" s="16"/>
      <c r="J292" s="16"/>
      <c r="K292" s="3"/>
      <c r="L292" s="3"/>
      <c r="M292" s="3"/>
      <c r="N292" s="3"/>
      <c r="O292" s="3"/>
      <c r="P292" s="3"/>
    </row>
    <row r="293" ht="22.5" hidden="1" customHeight="1">
      <c r="A293" s="16"/>
      <c r="B293" s="75"/>
      <c r="C293" s="16"/>
      <c r="D293" s="76"/>
      <c r="E293" s="74"/>
      <c r="F293" s="16"/>
      <c r="G293" s="29"/>
      <c r="H293" s="16"/>
      <c r="I293" s="16"/>
      <c r="J293" s="16"/>
      <c r="K293" s="3"/>
      <c r="L293" s="3"/>
      <c r="M293" s="3"/>
      <c r="N293" s="3"/>
      <c r="O293" s="3"/>
      <c r="P293" s="3"/>
    </row>
    <row r="294" ht="22.5" hidden="1" customHeight="1">
      <c r="A294" s="16"/>
      <c r="B294" s="75"/>
      <c r="C294" s="16"/>
      <c r="D294" s="16"/>
      <c r="E294" s="74"/>
      <c r="F294" s="16"/>
      <c r="G294" s="29"/>
      <c r="H294" s="16"/>
      <c r="I294" s="16"/>
      <c r="J294" s="16"/>
      <c r="K294" s="3"/>
      <c r="L294" s="3"/>
      <c r="M294" s="3"/>
      <c r="N294" s="3"/>
      <c r="O294" s="3"/>
      <c r="P294" s="3"/>
    </row>
    <row r="295" ht="22.5" hidden="1" customHeight="1">
      <c r="A295" s="16"/>
      <c r="B295" s="75"/>
      <c r="C295" s="16"/>
      <c r="D295" s="16"/>
      <c r="E295" s="74"/>
      <c r="F295" s="16"/>
      <c r="G295" s="29"/>
      <c r="H295" s="16"/>
      <c r="I295" s="16"/>
      <c r="J295" s="16"/>
      <c r="K295" s="3"/>
      <c r="L295" s="3"/>
      <c r="M295" s="3"/>
      <c r="N295" s="3"/>
      <c r="O295" s="3"/>
      <c r="P295" s="3"/>
    </row>
    <row r="296" ht="22.5" hidden="1" customHeight="1">
      <c r="A296" s="16"/>
      <c r="B296" s="75"/>
      <c r="C296" s="16"/>
      <c r="D296" s="76"/>
      <c r="E296" s="74"/>
      <c r="F296" s="16"/>
      <c r="G296" s="29"/>
      <c r="H296" s="16"/>
      <c r="I296" s="16"/>
      <c r="J296" s="16"/>
      <c r="K296" s="3"/>
      <c r="L296" s="3"/>
      <c r="M296" s="3"/>
      <c r="N296" s="3"/>
      <c r="O296" s="3"/>
      <c r="P296" s="3"/>
    </row>
    <row r="297">
      <c r="A297" s="3"/>
      <c r="B297" s="3"/>
      <c r="C297" s="79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>
      <c r="A298" s="3"/>
      <c r="B298" s="3"/>
      <c r="C298" s="79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>
      <c r="A299" s="3"/>
      <c r="B299" s="3"/>
      <c r="C299" s="79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>
      <c r="A300" s="3"/>
      <c r="B300" s="3"/>
      <c r="C300" s="79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>
      <c r="A301" s="3"/>
      <c r="B301" s="3"/>
      <c r="C301" s="79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>
      <c r="A302" s="3"/>
      <c r="B302" s="3"/>
      <c r="C302" s="79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>
      <c r="A303" s="3"/>
      <c r="B303" s="3"/>
      <c r="C303" s="79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>
      <c r="A304" s="3"/>
      <c r="B304" s="3"/>
      <c r="C304" s="79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>
      <c r="A305" s="3"/>
      <c r="B305" s="3"/>
      <c r="C305" s="79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>
      <c r="A306" s="3"/>
      <c r="B306" s="3"/>
      <c r="C306" s="79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>
      <c r="A307" s="3"/>
      <c r="B307" s="3"/>
      <c r="C307" s="79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>
      <c r="A308" s="3"/>
      <c r="B308" s="3"/>
      <c r="C308" s="79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>
      <c r="A309" s="3"/>
      <c r="B309" s="3"/>
      <c r="C309" s="79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>
      <c r="A310" s="3"/>
      <c r="B310" s="3"/>
      <c r="C310" s="79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>
      <c r="A311" s="3"/>
      <c r="B311" s="3"/>
      <c r="C311" s="79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>
      <c r="A312" s="3"/>
      <c r="B312" s="3"/>
      <c r="C312" s="79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>
      <c r="A313" s="3"/>
      <c r="B313" s="3"/>
      <c r="C313" s="79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>
      <c r="A314" s="3"/>
      <c r="B314" s="3"/>
      <c r="C314" s="79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>
      <c r="A315" s="3"/>
      <c r="B315" s="3"/>
      <c r="C315" s="79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>
      <c r="A316" s="3"/>
      <c r="B316" s="3"/>
      <c r="C316" s="79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>
      <c r="A317" s="3"/>
      <c r="B317" s="3"/>
      <c r="C317" s="79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>
      <c r="A318" s="3"/>
      <c r="B318" s="3"/>
      <c r="C318" s="79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>
      <c r="A319" s="3"/>
      <c r="B319" s="3"/>
      <c r="C319" s="79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>
      <c r="A320" s="3"/>
      <c r="B320" s="3"/>
      <c r="C320" s="79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>
      <c r="A321" s="3"/>
      <c r="B321" s="3"/>
      <c r="C321" s="79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>
      <c r="A322" s="3"/>
      <c r="B322" s="3"/>
      <c r="C322" s="79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>
      <c r="A323" s="3"/>
      <c r="B323" s="3"/>
      <c r="C323" s="79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>
      <c r="A324" s="3"/>
      <c r="B324" s="3"/>
      <c r="C324" s="79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>
      <c r="A325" s="3"/>
      <c r="B325" s="3"/>
      <c r="C325" s="79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>
      <c r="A326" s="3"/>
      <c r="B326" s="3"/>
      <c r="C326" s="79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>
      <c r="A327" s="3"/>
      <c r="B327" s="3"/>
      <c r="C327" s="79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>
      <c r="A328" s="3"/>
      <c r="B328" s="3"/>
      <c r="C328" s="79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>
      <c r="A329" s="3"/>
      <c r="B329" s="3"/>
      <c r="C329" s="79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>
      <c r="A330" s="3"/>
      <c r="B330" s="3"/>
      <c r="C330" s="79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>
      <c r="A331" s="3"/>
      <c r="B331" s="3"/>
      <c r="C331" s="79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>
      <c r="A332" s="3"/>
      <c r="B332" s="3"/>
      <c r="C332" s="79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>
      <c r="A333" s="3"/>
      <c r="B333" s="3"/>
      <c r="C333" s="79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>
      <c r="A334" s="3"/>
      <c r="B334" s="3"/>
      <c r="C334" s="79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>
      <c r="A335" s="3"/>
      <c r="B335" s="3"/>
      <c r="C335" s="79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>
      <c r="A336" s="3"/>
      <c r="B336" s="3"/>
      <c r="C336" s="79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>
      <c r="A337" s="3"/>
      <c r="B337" s="3"/>
      <c r="C337" s="79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>
      <c r="A338" s="3"/>
      <c r="B338" s="3"/>
      <c r="C338" s="79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>
      <c r="A339" s="3"/>
      <c r="B339" s="3"/>
      <c r="C339" s="79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>
      <c r="A340" s="3"/>
      <c r="B340" s="3"/>
      <c r="C340" s="79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>
      <c r="A341" s="3"/>
      <c r="B341" s="3"/>
      <c r="C341" s="79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>
      <c r="A342" s="3"/>
      <c r="B342" s="3"/>
      <c r="C342" s="79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>
      <c r="A343" s="3"/>
      <c r="B343" s="3"/>
      <c r="C343" s="79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>
      <c r="A344" s="3"/>
      <c r="B344" s="3"/>
      <c r="C344" s="79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>
      <c r="A345" s="3"/>
      <c r="B345" s="3"/>
      <c r="C345" s="79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>
      <c r="A346" s="3"/>
      <c r="B346" s="3"/>
      <c r="C346" s="79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>
      <c r="A347" s="3"/>
      <c r="B347" s="3"/>
      <c r="C347" s="79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>
      <c r="A348" s="3"/>
      <c r="B348" s="3"/>
      <c r="C348" s="79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>
      <c r="A349" s="3"/>
      <c r="B349" s="3"/>
      <c r="C349" s="79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>
      <c r="A350" s="3"/>
      <c r="B350" s="3"/>
      <c r="C350" s="79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>
      <c r="A351" s="3"/>
      <c r="B351" s="3"/>
      <c r="C351" s="79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>
      <c r="A352" s="3"/>
      <c r="B352" s="3"/>
      <c r="C352" s="79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>
      <c r="A353" s="3"/>
      <c r="B353" s="3"/>
      <c r="C353" s="79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>
      <c r="A354" s="3"/>
      <c r="B354" s="3"/>
      <c r="C354" s="79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>
      <c r="A355" s="3"/>
      <c r="B355" s="3"/>
      <c r="C355" s="79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>
      <c r="A356" s="3"/>
      <c r="B356" s="3"/>
      <c r="C356" s="79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>
      <c r="A357" s="3"/>
      <c r="B357" s="3"/>
      <c r="C357" s="79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>
      <c r="A358" s="3"/>
      <c r="B358" s="3"/>
      <c r="C358" s="79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>
      <c r="A359" s="3"/>
      <c r="B359" s="3"/>
      <c r="C359" s="79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>
      <c r="A360" s="3"/>
      <c r="B360" s="3"/>
      <c r="C360" s="79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>
      <c r="A361" s="3"/>
      <c r="B361" s="3"/>
      <c r="C361" s="79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>
      <c r="A362" s="3"/>
      <c r="B362" s="3"/>
      <c r="C362" s="79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>
      <c r="A363" s="3"/>
      <c r="B363" s="3"/>
      <c r="C363" s="79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>
      <c r="A364" s="3"/>
      <c r="B364" s="3"/>
      <c r="C364" s="79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>
      <c r="A365" s="3"/>
      <c r="B365" s="3"/>
      <c r="C365" s="79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>
      <c r="A366" s="3"/>
      <c r="B366" s="3"/>
      <c r="C366" s="79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>
      <c r="A367" s="3"/>
      <c r="B367" s="3"/>
      <c r="C367" s="79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>
      <c r="A368" s="3"/>
      <c r="B368" s="3"/>
      <c r="C368" s="79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>
      <c r="A369" s="3"/>
      <c r="B369" s="3"/>
      <c r="C369" s="79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>
      <c r="A370" s="3"/>
      <c r="B370" s="3"/>
      <c r="C370" s="79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>
      <c r="A371" s="3"/>
      <c r="B371" s="3"/>
      <c r="C371" s="79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>
      <c r="A372" s="3"/>
      <c r="B372" s="3"/>
      <c r="C372" s="79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>
      <c r="A373" s="3"/>
      <c r="B373" s="3"/>
      <c r="C373" s="79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>
      <c r="A374" s="3"/>
      <c r="B374" s="3"/>
      <c r="C374" s="79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>
      <c r="A375" s="3"/>
      <c r="B375" s="3"/>
      <c r="C375" s="79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>
      <c r="A376" s="3"/>
      <c r="B376" s="3"/>
      <c r="C376" s="79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>
      <c r="A377" s="3"/>
      <c r="B377" s="3"/>
      <c r="C377" s="79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>
      <c r="A378" s="3"/>
      <c r="B378" s="3"/>
      <c r="C378" s="79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>
      <c r="A379" s="3"/>
      <c r="B379" s="3"/>
      <c r="C379" s="79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>
      <c r="A380" s="3"/>
      <c r="B380" s="3"/>
      <c r="C380" s="79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>
      <c r="A381" s="3"/>
      <c r="B381" s="3"/>
      <c r="C381" s="79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>
      <c r="A382" s="3"/>
      <c r="B382" s="3"/>
      <c r="C382" s="79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>
      <c r="A383" s="3"/>
      <c r="B383" s="3"/>
      <c r="C383" s="79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>
      <c r="A384" s="3"/>
      <c r="B384" s="3"/>
      <c r="C384" s="79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>
      <c r="A385" s="3"/>
      <c r="B385" s="3"/>
      <c r="C385" s="79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>
      <c r="A386" s="3"/>
      <c r="B386" s="3"/>
      <c r="C386" s="79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>
      <c r="A387" s="3"/>
      <c r="B387" s="3"/>
      <c r="C387" s="79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>
      <c r="A388" s="3"/>
      <c r="B388" s="3"/>
      <c r="C388" s="79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>
      <c r="A389" s="3"/>
      <c r="B389" s="3"/>
      <c r="C389" s="79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>
      <c r="A390" s="3"/>
      <c r="B390" s="3"/>
      <c r="C390" s="79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>
      <c r="A391" s="3"/>
      <c r="B391" s="3"/>
      <c r="C391" s="79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>
      <c r="A392" s="3"/>
      <c r="B392" s="3"/>
      <c r="C392" s="79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>
      <c r="A393" s="3"/>
      <c r="B393" s="3"/>
      <c r="C393" s="79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>
      <c r="A394" s="3"/>
      <c r="B394" s="3"/>
      <c r="C394" s="79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>
      <c r="A395" s="3"/>
      <c r="B395" s="3"/>
      <c r="C395" s="79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>
      <c r="A396" s="3"/>
      <c r="B396" s="3"/>
      <c r="C396" s="79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>
      <c r="A397" s="3"/>
      <c r="B397" s="3"/>
      <c r="C397" s="79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>
      <c r="A398" s="3"/>
      <c r="B398" s="3"/>
      <c r="C398" s="79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>
      <c r="A399" s="3"/>
      <c r="B399" s="3"/>
      <c r="C399" s="79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>
      <c r="A400" s="3"/>
      <c r="B400" s="3"/>
      <c r="C400" s="79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>
      <c r="A401" s="3"/>
      <c r="B401" s="3"/>
      <c r="C401" s="79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>
      <c r="A402" s="3"/>
      <c r="B402" s="3"/>
      <c r="C402" s="79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>
      <c r="A403" s="3"/>
      <c r="B403" s="3"/>
      <c r="C403" s="79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>
      <c r="A404" s="3"/>
      <c r="B404" s="3"/>
      <c r="C404" s="79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>
      <c r="A405" s="3"/>
      <c r="B405" s="3"/>
      <c r="C405" s="79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>
      <c r="A406" s="3"/>
      <c r="B406" s="3"/>
      <c r="C406" s="79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>
      <c r="A407" s="3"/>
      <c r="B407" s="3"/>
      <c r="C407" s="79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>
      <c r="A408" s="3"/>
      <c r="B408" s="3"/>
      <c r="C408" s="79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>
      <c r="A409" s="3"/>
      <c r="B409" s="3"/>
      <c r="C409" s="79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>
      <c r="A410" s="3"/>
      <c r="B410" s="3"/>
      <c r="C410" s="79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>
      <c r="A411" s="3"/>
      <c r="B411" s="3"/>
      <c r="C411" s="79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>
      <c r="A412" s="3"/>
      <c r="B412" s="3"/>
      <c r="C412" s="79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>
      <c r="A413" s="3"/>
      <c r="B413" s="3"/>
      <c r="C413" s="79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>
      <c r="A414" s="3"/>
      <c r="B414" s="3"/>
      <c r="C414" s="79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>
      <c r="A415" s="3"/>
      <c r="B415" s="3"/>
      <c r="C415" s="79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>
      <c r="A416" s="3"/>
      <c r="B416" s="3"/>
      <c r="C416" s="79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>
      <c r="A417" s="3"/>
      <c r="B417" s="3"/>
      <c r="C417" s="79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>
      <c r="A418" s="3"/>
      <c r="B418" s="3"/>
      <c r="C418" s="7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>
      <c r="A419" s="3"/>
      <c r="B419" s="3"/>
      <c r="C419" s="7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>
      <c r="A420" s="3"/>
      <c r="B420" s="3"/>
      <c r="C420" s="7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>
      <c r="A421" s="3"/>
      <c r="B421" s="3"/>
      <c r="C421" s="7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>
      <c r="A422" s="3"/>
      <c r="B422" s="3"/>
      <c r="C422" s="7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>
      <c r="A423" s="3"/>
      <c r="B423" s="3"/>
      <c r="C423" s="7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>
      <c r="A424" s="3"/>
      <c r="B424" s="3"/>
      <c r="C424" s="7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>
      <c r="A425" s="3"/>
      <c r="B425" s="3"/>
      <c r="C425" s="7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>
      <c r="A426" s="3"/>
      <c r="B426" s="3"/>
      <c r="C426" s="7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>
      <c r="A427" s="3"/>
      <c r="B427" s="3"/>
      <c r="C427" s="7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>
      <c r="A428" s="3"/>
      <c r="B428" s="3"/>
      <c r="C428" s="7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>
      <c r="A429" s="3"/>
      <c r="B429" s="3"/>
      <c r="C429" s="7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>
      <c r="A430" s="3"/>
      <c r="B430" s="3"/>
      <c r="C430" s="7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>
      <c r="A431" s="3"/>
      <c r="B431" s="3"/>
      <c r="C431" s="7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>
      <c r="A432" s="3"/>
      <c r="B432" s="3"/>
      <c r="C432" s="7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>
      <c r="A433" s="3"/>
      <c r="B433" s="3"/>
      <c r="C433" s="7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>
      <c r="A434" s="3"/>
      <c r="B434" s="3"/>
      <c r="C434" s="7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>
      <c r="A435" s="3"/>
      <c r="B435" s="3"/>
      <c r="C435" s="7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>
      <c r="A436" s="3"/>
      <c r="B436" s="3"/>
      <c r="C436" s="7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>
      <c r="A437" s="3"/>
      <c r="B437" s="3"/>
      <c r="C437" s="7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>
      <c r="A438" s="3"/>
      <c r="B438" s="3"/>
      <c r="C438" s="7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>
      <c r="A439" s="3"/>
      <c r="B439" s="3"/>
      <c r="C439" s="7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>
      <c r="A440" s="3"/>
      <c r="B440" s="3"/>
      <c r="C440" s="7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>
      <c r="A441" s="3"/>
      <c r="B441" s="3"/>
      <c r="C441" s="7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>
      <c r="A442" s="3"/>
      <c r="B442" s="3"/>
      <c r="C442" s="7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>
      <c r="A443" s="3"/>
      <c r="B443" s="3"/>
      <c r="C443" s="7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>
      <c r="A444" s="3"/>
      <c r="B444" s="3"/>
      <c r="C444" s="7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>
      <c r="A445" s="3"/>
      <c r="B445" s="3"/>
      <c r="C445" s="7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>
      <c r="A446" s="3"/>
      <c r="B446" s="3"/>
      <c r="C446" s="7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>
      <c r="A447" s="3"/>
      <c r="B447" s="3"/>
      <c r="C447" s="7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>
      <c r="A448" s="3"/>
      <c r="B448" s="3"/>
      <c r="C448" s="7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>
      <c r="A449" s="3"/>
      <c r="B449" s="3"/>
      <c r="C449" s="7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>
      <c r="A450" s="3"/>
      <c r="B450" s="3"/>
      <c r="C450" s="7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>
      <c r="A451" s="3"/>
      <c r="B451" s="3"/>
      <c r="C451" s="7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>
      <c r="A452" s="3"/>
      <c r="B452" s="3"/>
      <c r="C452" s="7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>
      <c r="A453" s="3"/>
      <c r="B453" s="3"/>
      <c r="C453" s="7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>
      <c r="A454" s="3"/>
      <c r="B454" s="3"/>
      <c r="C454" s="7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>
      <c r="A455" s="3"/>
      <c r="B455" s="3"/>
      <c r="C455" s="7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>
      <c r="A456" s="3"/>
      <c r="B456" s="3"/>
      <c r="C456" s="7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>
      <c r="A457" s="3"/>
      <c r="B457" s="3"/>
      <c r="C457" s="7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>
      <c r="A458" s="3"/>
      <c r="B458" s="3"/>
      <c r="C458" s="7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>
      <c r="A459" s="3"/>
      <c r="B459" s="3"/>
      <c r="C459" s="7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>
      <c r="A460" s="3"/>
      <c r="B460" s="3"/>
      <c r="C460" s="7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>
      <c r="A461" s="3"/>
      <c r="B461" s="3"/>
      <c r="C461" s="7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>
      <c r="A462" s="3"/>
      <c r="B462" s="3"/>
      <c r="C462" s="7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>
      <c r="A463" s="3"/>
      <c r="B463" s="3"/>
      <c r="C463" s="7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>
      <c r="A464" s="3"/>
      <c r="B464" s="3"/>
      <c r="C464" s="7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>
      <c r="A465" s="3"/>
      <c r="B465" s="3"/>
      <c r="C465" s="7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>
      <c r="A466" s="3"/>
      <c r="B466" s="3"/>
      <c r="C466" s="7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>
      <c r="A467" s="3"/>
      <c r="B467" s="3"/>
      <c r="C467" s="7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>
      <c r="A468" s="3"/>
      <c r="B468" s="3"/>
      <c r="C468" s="7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>
      <c r="A469" s="3"/>
      <c r="B469" s="3"/>
      <c r="C469" s="7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>
      <c r="A470" s="3"/>
      <c r="B470" s="3"/>
      <c r="C470" s="7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>
      <c r="A471" s="3"/>
      <c r="B471" s="3"/>
      <c r="C471" s="7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>
      <c r="A472" s="3"/>
      <c r="B472" s="3"/>
      <c r="C472" s="7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>
      <c r="A473" s="3"/>
      <c r="B473" s="3"/>
      <c r="C473" s="7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>
      <c r="A474" s="3"/>
      <c r="B474" s="3"/>
      <c r="C474" s="7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>
      <c r="A475" s="3"/>
      <c r="B475" s="3"/>
      <c r="C475" s="7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>
      <c r="A476" s="3"/>
      <c r="B476" s="3"/>
      <c r="C476" s="7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>
      <c r="A477" s="3"/>
      <c r="B477" s="3"/>
      <c r="C477" s="7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>
      <c r="A478" s="3"/>
      <c r="B478" s="3"/>
      <c r="C478" s="7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>
      <c r="A479" s="3"/>
      <c r="B479" s="3"/>
      <c r="C479" s="7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>
      <c r="A480" s="3"/>
      <c r="B480" s="3"/>
      <c r="C480" s="7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>
      <c r="A481" s="3"/>
      <c r="B481" s="3"/>
      <c r="C481" s="7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>
      <c r="A482" s="3"/>
      <c r="B482" s="3"/>
      <c r="C482" s="7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>
      <c r="A483" s="3"/>
      <c r="B483" s="3"/>
      <c r="C483" s="7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>
      <c r="A484" s="3"/>
      <c r="B484" s="3"/>
      <c r="C484" s="7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>
      <c r="A485" s="3"/>
      <c r="B485" s="3"/>
      <c r="C485" s="7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>
      <c r="A486" s="3"/>
      <c r="B486" s="3"/>
      <c r="C486" s="7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>
      <c r="A487" s="3"/>
      <c r="B487" s="3"/>
      <c r="C487" s="7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>
      <c r="A488" s="3"/>
      <c r="B488" s="3"/>
      <c r="C488" s="7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>
      <c r="A489" s="3"/>
      <c r="B489" s="3"/>
      <c r="C489" s="7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>
      <c r="A490" s="3"/>
      <c r="B490" s="3"/>
      <c r="C490" s="7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>
      <c r="A491" s="3"/>
      <c r="B491" s="3"/>
      <c r="C491" s="7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>
      <c r="A492" s="3"/>
      <c r="B492" s="3"/>
      <c r="C492" s="7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>
      <c r="A493" s="3"/>
      <c r="B493" s="3"/>
      <c r="C493" s="7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>
      <c r="A494" s="3"/>
      <c r="B494" s="3"/>
      <c r="C494" s="7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>
      <c r="A495" s="3"/>
      <c r="B495" s="3"/>
      <c r="C495" s="7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>
      <c r="A496" s="3"/>
      <c r="B496" s="3"/>
      <c r="C496" s="7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>
      <c r="A497" s="3"/>
      <c r="B497" s="3"/>
      <c r="C497" s="7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>
      <c r="A498" s="3"/>
      <c r="B498" s="3"/>
      <c r="C498" s="7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>
      <c r="A499" s="3"/>
      <c r="B499" s="3"/>
      <c r="C499" s="7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>
      <c r="A500" s="3"/>
      <c r="B500" s="3"/>
      <c r="C500" s="7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>
      <c r="A501" s="3"/>
      <c r="B501" s="3"/>
      <c r="C501" s="7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>
      <c r="A502" s="3"/>
      <c r="B502" s="3"/>
      <c r="C502" s="7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>
      <c r="A503" s="3"/>
      <c r="B503" s="3"/>
      <c r="C503" s="7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>
      <c r="A504" s="3"/>
      <c r="B504" s="3"/>
      <c r="C504" s="7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>
      <c r="A505" s="3"/>
      <c r="B505" s="3"/>
      <c r="C505" s="7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>
      <c r="A506" s="3"/>
      <c r="B506" s="3"/>
      <c r="C506" s="7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>
      <c r="A507" s="3"/>
      <c r="B507" s="3"/>
      <c r="C507" s="7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>
      <c r="A508" s="3"/>
      <c r="B508" s="3"/>
      <c r="C508" s="7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>
      <c r="A509" s="3"/>
      <c r="B509" s="3"/>
      <c r="C509" s="7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>
      <c r="A510" s="3"/>
      <c r="B510" s="3"/>
      <c r="C510" s="7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>
      <c r="A511" s="3"/>
      <c r="B511" s="3"/>
      <c r="C511" s="7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>
      <c r="A512" s="3"/>
      <c r="B512" s="3"/>
      <c r="C512" s="7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>
      <c r="A513" s="3"/>
      <c r="B513" s="3"/>
      <c r="C513" s="7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>
      <c r="A514" s="3"/>
      <c r="B514" s="3"/>
      <c r="C514" s="7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>
      <c r="A515" s="3"/>
      <c r="B515" s="3"/>
      <c r="C515" s="7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>
      <c r="A516" s="3"/>
      <c r="B516" s="3"/>
      <c r="C516" s="7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>
      <c r="A517" s="3"/>
      <c r="B517" s="3"/>
      <c r="C517" s="7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>
      <c r="A518" s="3"/>
      <c r="B518" s="3"/>
      <c r="C518" s="7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>
      <c r="A519" s="3"/>
      <c r="B519" s="3"/>
      <c r="C519" s="7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>
      <c r="A520" s="3"/>
      <c r="B520" s="3"/>
      <c r="C520" s="7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>
      <c r="A521" s="3"/>
      <c r="B521" s="3"/>
      <c r="C521" s="7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>
      <c r="A522" s="3"/>
      <c r="B522" s="3"/>
      <c r="C522" s="7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>
      <c r="A523" s="3"/>
      <c r="B523" s="3"/>
      <c r="C523" s="7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>
      <c r="A524" s="3"/>
      <c r="B524" s="3"/>
      <c r="C524" s="7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>
      <c r="A525" s="3"/>
      <c r="B525" s="3"/>
      <c r="C525" s="7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>
      <c r="A526" s="3"/>
      <c r="B526" s="3"/>
      <c r="C526" s="7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>
      <c r="A527" s="3"/>
      <c r="B527" s="3"/>
      <c r="C527" s="7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>
      <c r="A528" s="3"/>
      <c r="B528" s="3"/>
      <c r="C528" s="7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>
      <c r="A529" s="3"/>
      <c r="B529" s="3"/>
      <c r="C529" s="7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>
      <c r="A530" s="3"/>
      <c r="B530" s="3"/>
      <c r="C530" s="7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>
      <c r="A531" s="3"/>
      <c r="B531" s="3"/>
      <c r="C531" s="7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>
      <c r="A532" s="3"/>
      <c r="B532" s="3"/>
      <c r="C532" s="7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>
      <c r="A533" s="3"/>
      <c r="B533" s="3"/>
      <c r="C533" s="7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>
      <c r="A534" s="3"/>
      <c r="B534" s="3"/>
      <c r="C534" s="7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>
      <c r="A535" s="3"/>
      <c r="B535" s="3"/>
      <c r="C535" s="7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>
      <c r="A536" s="3"/>
      <c r="B536" s="3"/>
      <c r="C536" s="7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>
      <c r="A537" s="3"/>
      <c r="B537" s="3"/>
      <c r="C537" s="7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>
      <c r="A538" s="3"/>
      <c r="B538" s="3"/>
      <c r="C538" s="7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>
      <c r="A539" s="3"/>
      <c r="B539" s="3"/>
      <c r="C539" s="7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>
      <c r="A540" s="3"/>
      <c r="B540" s="3"/>
      <c r="C540" s="7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>
      <c r="A541" s="3"/>
      <c r="B541" s="3"/>
      <c r="C541" s="7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>
      <c r="A542" s="3"/>
      <c r="B542" s="3"/>
      <c r="C542" s="7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>
      <c r="A543" s="3"/>
      <c r="B543" s="3"/>
      <c r="C543" s="7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>
      <c r="A544" s="3"/>
      <c r="B544" s="3"/>
      <c r="C544" s="7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>
      <c r="A545" s="3"/>
      <c r="B545" s="3"/>
      <c r="C545" s="7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>
      <c r="A546" s="3"/>
      <c r="B546" s="3"/>
      <c r="C546" s="7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>
      <c r="A547" s="3"/>
      <c r="B547" s="3"/>
      <c r="C547" s="7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>
      <c r="A548" s="3"/>
      <c r="B548" s="3"/>
      <c r="C548" s="7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>
      <c r="A549" s="3"/>
      <c r="B549" s="3"/>
      <c r="C549" s="7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>
      <c r="A550" s="3"/>
      <c r="B550" s="3"/>
      <c r="C550" s="7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>
      <c r="A551" s="3"/>
      <c r="B551" s="3"/>
      <c r="C551" s="7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>
      <c r="A552" s="3"/>
      <c r="B552" s="3"/>
      <c r="C552" s="7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>
      <c r="A553" s="3"/>
      <c r="B553" s="3"/>
      <c r="C553" s="7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>
      <c r="A554" s="3"/>
      <c r="B554" s="3"/>
      <c r="C554" s="7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>
      <c r="A555" s="3"/>
      <c r="B555" s="3"/>
      <c r="C555" s="7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>
      <c r="A556" s="3"/>
      <c r="B556" s="3"/>
      <c r="C556" s="7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>
      <c r="A557" s="3"/>
      <c r="B557" s="3"/>
      <c r="C557" s="7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>
      <c r="A558" s="3"/>
      <c r="B558" s="3"/>
      <c r="C558" s="7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>
      <c r="A559" s="3"/>
      <c r="B559" s="3"/>
      <c r="C559" s="7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>
      <c r="A560" s="3"/>
      <c r="B560" s="3"/>
      <c r="C560" s="7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>
      <c r="A561" s="3"/>
      <c r="B561" s="3"/>
      <c r="C561" s="7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>
      <c r="A562" s="3"/>
      <c r="B562" s="3"/>
      <c r="C562" s="7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>
      <c r="A563" s="3"/>
      <c r="B563" s="3"/>
      <c r="C563" s="7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>
      <c r="A564" s="3"/>
      <c r="B564" s="3"/>
      <c r="C564" s="7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>
      <c r="A565" s="3"/>
      <c r="B565" s="3"/>
      <c r="C565" s="7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>
      <c r="A566" s="3"/>
      <c r="B566" s="3"/>
      <c r="C566" s="7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>
      <c r="A567" s="3"/>
      <c r="B567" s="3"/>
      <c r="C567" s="7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>
      <c r="A568" s="3"/>
      <c r="B568" s="3"/>
      <c r="C568" s="7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>
      <c r="A569" s="3"/>
      <c r="B569" s="3"/>
      <c r="C569" s="7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>
      <c r="A570" s="3"/>
      <c r="B570" s="3"/>
      <c r="C570" s="7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>
      <c r="A571" s="3"/>
      <c r="B571" s="3"/>
      <c r="C571" s="7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>
      <c r="A572" s="3"/>
      <c r="B572" s="3"/>
      <c r="C572" s="7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>
      <c r="A573" s="3"/>
      <c r="B573" s="3"/>
      <c r="C573" s="7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>
      <c r="A574" s="3"/>
      <c r="B574" s="3"/>
      <c r="C574" s="7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>
      <c r="A575" s="3"/>
      <c r="B575" s="3"/>
      <c r="C575" s="7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>
      <c r="A576" s="3"/>
      <c r="B576" s="3"/>
      <c r="C576" s="7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>
      <c r="A577" s="3"/>
      <c r="B577" s="3"/>
      <c r="C577" s="7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>
      <c r="A578" s="3"/>
      <c r="B578" s="3"/>
      <c r="C578" s="7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>
      <c r="A579" s="3"/>
      <c r="B579" s="3"/>
      <c r="C579" s="7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>
      <c r="A580" s="3"/>
      <c r="B580" s="3"/>
      <c r="C580" s="7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>
      <c r="A581" s="3"/>
      <c r="B581" s="3"/>
      <c r="C581" s="7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>
      <c r="A582" s="3"/>
      <c r="B582" s="3"/>
      <c r="C582" s="7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>
      <c r="A583" s="3"/>
      <c r="B583" s="3"/>
      <c r="C583" s="7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>
      <c r="A584" s="3"/>
      <c r="B584" s="3"/>
      <c r="C584" s="7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>
      <c r="A585" s="3"/>
      <c r="B585" s="3"/>
      <c r="C585" s="7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>
      <c r="A586" s="3"/>
      <c r="B586" s="3"/>
      <c r="C586" s="7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>
      <c r="A587" s="3"/>
      <c r="B587" s="3"/>
      <c r="C587" s="7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>
      <c r="A588" s="3"/>
      <c r="B588" s="3"/>
      <c r="C588" s="7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>
      <c r="A589" s="3"/>
      <c r="B589" s="3"/>
      <c r="C589" s="7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>
      <c r="A590" s="3"/>
      <c r="B590" s="3"/>
      <c r="C590" s="7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>
      <c r="A591" s="3"/>
      <c r="B591" s="3"/>
      <c r="C591" s="7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>
      <c r="A592" s="3"/>
      <c r="B592" s="3"/>
      <c r="C592" s="7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>
      <c r="A593" s="3"/>
      <c r="B593" s="3"/>
      <c r="C593" s="7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>
      <c r="A594" s="3"/>
      <c r="B594" s="3"/>
      <c r="C594" s="7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>
      <c r="A595" s="3"/>
      <c r="B595" s="3"/>
      <c r="C595" s="7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>
      <c r="A596" s="3"/>
      <c r="B596" s="3"/>
      <c r="C596" s="7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>
      <c r="A597" s="3"/>
      <c r="B597" s="3"/>
      <c r="C597" s="7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>
      <c r="A598" s="3"/>
      <c r="B598" s="3"/>
      <c r="C598" s="7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>
      <c r="A599" s="3"/>
      <c r="B599" s="3"/>
      <c r="C599" s="7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>
      <c r="A600" s="3"/>
      <c r="B600" s="3"/>
      <c r="C600" s="7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>
      <c r="A601" s="3"/>
      <c r="B601" s="3"/>
      <c r="C601" s="7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>
      <c r="A602" s="3"/>
      <c r="B602" s="3"/>
      <c r="C602" s="7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>
      <c r="A603" s="3"/>
      <c r="B603" s="3"/>
      <c r="C603" s="7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>
      <c r="A604" s="3"/>
      <c r="B604" s="3"/>
      <c r="C604" s="7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>
      <c r="A605" s="3"/>
      <c r="B605" s="3"/>
      <c r="C605" s="7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>
      <c r="A606" s="3"/>
      <c r="B606" s="3"/>
      <c r="C606" s="7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>
      <c r="A607" s="3"/>
      <c r="B607" s="3"/>
      <c r="C607" s="7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>
      <c r="A608" s="3"/>
      <c r="B608" s="3"/>
      <c r="C608" s="7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>
      <c r="A609" s="3"/>
      <c r="B609" s="3"/>
      <c r="C609" s="7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>
      <c r="A610" s="3"/>
      <c r="B610" s="3"/>
      <c r="C610" s="7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>
      <c r="A611" s="3"/>
      <c r="B611" s="3"/>
      <c r="C611" s="7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>
      <c r="A612" s="3"/>
      <c r="B612" s="3"/>
      <c r="C612" s="7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>
      <c r="A613" s="3"/>
      <c r="B613" s="3"/>
      <c r="C613" s="7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>
      <c r="A614" s="3"/>
      <c r="B614" s="3"/>
      <c r="C614" s="7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>
      <c r="A615" s="3"/>
      <c r="B615" s="3"/>
      <c r="C615" s="7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>
      <c r="A616" s="3"/>
      <c r="B616" s="3"/>
      <c r="C616" s="7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>
      <c r="A617" s="3"/>
      <c r="B617" s="3"/>
      <c r="C617" s="7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>
      <c r="A618" s="3"/>
      <c r="B618" s="3"/>
      <c r="C618" s="7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>
      <c r="A619" s="3"/>
      <c r="B619" s="3"/>
      <c r="C619" s="7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>
      <c r="A620" s="3"/>
      <c r="B620" s="3"/>
      <c r="C620" s="7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>
      <c r="A621" s="3"/>
      <c r="B621" s="3"/>
      <c r="C621" s="7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>
      <c r="A622" s="3"/>
      <c r="B622" s="3"/>
      <c r="C622" s="7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>
      <c r="A623" s="3"/>
      <c r="B623" s="3"/>
      <c r="C623" s="7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>
      <c r="A624" s="3"/>
      <c r="B624" s="3"/>
      <c r="C624" s="7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>
      <c r="A625" s="3"/>
      <c r="B625" s="3"/>
      <c r="C625" s="7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>
      <c r="A626" s="3"/>
      <c r="B626" s="3"/>
      <c r="C626" s="7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>
      <c r="A627" s="3"/>
      <c r="B627" s="3"/>
      <c r="C627" s="7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>
      <c r="A628" s="3"/>
      <c r="B628" s="3"/>
      <c r="C628" s="7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>
      <c r="A629" s="3"/>
      <c r="B629" s="3"/>
      <c r="C629" s="7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>
      <c r="A630" s="3"/>
      <c r="B630" s="3"/>
      <c r="C630" s="7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>
      <c r="A631" s="3"/>
      <c r="B631" s="3"/>
      <c r="C631" s="7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>
      <c r="A632" s="3"/>
      <c r="B632" s="3"/>
      <c r="C632" s="7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>
      <c r="A633" s="3"/>
      <c r="B633" s="3"/>
      <c r="C633" s="7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>
      <c r="A634" s="3"/>
      <c r="B634" s="3"/>
      <c r="C634" s="7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>
      <c r="A635" s="3"/>
      <c r="B635" s="3"/>
      <c r="C635" s="7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>
      <c r="A636" s="3"/>
      <c r="B636" s="3"/>
      <c r="C636" s="7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>
      <c r="A637" s="3"/>
      <c r="B637" s="3"/>
      <c r="C637" s="7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>
      <c r="A638" s="3"/>
      <c r="B638" s="3"/>
      <c r="C638" s="7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>
      <c r="A639" s="3"/>
      <c r="B639" s="3"/>
      <c r="C639" s="7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>
      <c r="A640" s="3"/>
      <c r="B640" s="3"/>
      <c r="C640" s="7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>
      <c r="A641" s="3"/>
      <c r="B641" s="3"/>
      <c r="C641" s="7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>
      <c r="A642" s="3"/>
      <c r="B642" s="3"/>
      <c r="C642" s="7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>
      <c r="A643" s="3"/>
      <c r="B643" s="3"/>
      <c r="C643" s="7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>
      <c r="A644" s="3"/>
      <c r="B644" s="3"/>
      <c r="C644" s="7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>
      <c r="A645" s="3"/>
      <c r="B645" s="3"/>
      <c r="C645" s="7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>
      <c r="A646" s="3"/>
      <c r="B646" s="3"/>
      <c r="C646" s="7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>
      <c r="A647" s="3"/>
      <c r="B647" s="3"/>
      <c r="C647" s="7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>
      <c r="A648" s="3"/>
      <c r="B648" s="3"/>
      <c r="C648" s="7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>
      <c r="A649" s="3"/>
      <c r="B649" s="3"/>
      <c r="C649" s="7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>
      <c r="A650" s="3"/>
      <c r="B650" s="3"/>
      <c r="C650" s="7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>
      <c r="A651" s="3"/>
      <c r="B651" s="3"/>
      <c r="C651" s="7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>
      <c r="A652" s="3"/>
      <c r="B652" s="3"/>
      <c r="C652" s="7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>
      <c r="A653" s="3"/>
      <c r="B653" s="3"/>
      <c r="C653" s="7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>
      <c r="A654" s="3"/>
      <c r="B654" s="3"/>
      <c r="C654" s="7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>
      <c r="A655" s="3"/>
      <c r="B655" s="3"/>
      <c r="C655" s="7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>
      <c r="A656" s="3"/>
      <c r="B656" s="3"/>
      <c r="C656" s="7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>
      <c r="A657" s="3"/>
      <c r="B657" s="3"/>
      <c r="C657" s="7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>
      <c r="A658" s="3"/>
      <c r="B658" s="3"/>
      <c r="C658" s="7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>
      <c r="A659" s="3"/>
      <c r="B659" s="3"/>
      <c r="C659" s="7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>
      <c r="A660" s="3"/>
      <c r="B660" s="3"/>
      <c r="C660" s="7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>
      <c r="A661" s="3"/>
      <c r="B661" s="3"/>
      <c r="C661" s="7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>
      <c r="A662" s="3"/>
      <c r="B662" s="3"/>
      <c r="C662" s="7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>
      <c r="A663" s="3"/>
      <c r="B663" s="3"/>
      <c r="C663" s="7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>
      <c r="A664" s="3"/>
      <c r="B664" s="3"/>
      <c r="C664" s="7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>
      <c r="A665" s="3"/>
      <c r="B665" s="3"/>
      <c r="C665" s="7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>
      <c r="A666" s="3"/>
      <c r="B666" s="3"/>
      <c r="C666" s="7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>
      <c r="A667" s="3"/>
      <c r="B667" s="3"/>
      <c r="C667" s="7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>
      <c r="A668" s="3"/>
      <c r="B668" s="3"/>
      <c r="C668" s="7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>
      <c r="A669" s="3"/>
      <c r="B669" s="3"/>
      <c r="C669" s="7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>
      <c r="A670" s="3"/>
      <c r="B670" s="3"/>
      <c r="C670" s="7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>
      <c r="A671" s="3"/>
      <c r="B671" s="3"/>
      <c r="C671" s="7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>
      <c r="A672" s="3"/>
      <c r="B672" s="3"/>
      <c r="C672" s="7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>
      <c r="A673" s="3"/>
      <c r="B673" s="3"/>
      <c r="C673" s="7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>
      <c r="A674" s="3"/>
      <c r="B674" s="3"/>
      <c r="C674" s="7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>
      <c r="A675" s="3"/>
      <c r="B675" s="3"/>
      <c r="C675" s="7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>
      <c r="A676" s="3"/>
      <c r="B676" s="3"/>
      <c r="C676" s="7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>
      <c r="A677" s="3"/>
      <c r="B677" s="3"/>
      <c r="C677" s="7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>
      <c r="A678" s="3"/>
      <c r="B678" s="3"/>
      <c r="C678" s="7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>
      <c r="A679" s="3"/>
      <c r="B679" s="3"/>
      <c r="C679" s="7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>
      <c r="A680" s="3"/>
      <c r="B680" s="3"/>
      <c r="C680" s="7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>
      <c r="A681" s="3"/>
      <c r="B681" s="3"/>
      <c r="C681" s="7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>
      <c r="A682" s="3"/>
      <c r="B682" s="3"/>
      <c r="C682" s="7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>
      <c r="A683" s="3"/>
      <c r="B683" s="3"/>
      <c r="C683" s="7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>
      <c r="A684" s="3"/>
      <c r="B684" s="3"/>
      <c r="C684" s="7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>
      <c r="A685" s="3"/>
      <c r="B685" s="3"/>
      <c r="C685" s="7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>
      <c r="A686" s="3"/>
      <c r="B686" s="3"/>
      <c r="C686" s="7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>
      <c r="A687" s="3"/>
      <c r="B687" s="3"/>
      <c r="C687" s="7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>
      <c r="A688" s="3"/>
      <c r="B688" s="3"/>
      <c r="C688" s="7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>
      <c r="A689" s="3"/>
      <c r="B689" s="3"/>
      <c r="C689" s="7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>
      <c r="A690" s="3"/>
      <c r="B690" s="3"/>
      <c r="C690" s="7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>
      <c r="A691" s="3"/>
      <c r="B691" s="3"/>
      <c r="C691" s="7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>
      <c r="A692" s="3"/>
      <c r="B692" s="3"/>
      <c r="C692" s="7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>
      <c r="A693" s="3"/>
      <c r="B693" s="3"/>
      <c r="C693" s="7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>
      <c r="A694" s="3"/>
      <c r="B694" s="3"/>
      <c r="C694" s="7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>
      <c r="A695" s="3"/>
      <c r="B695" s="3"/>
      <c r="C695" s="7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>
      <c r="A696" s="3"/>
      <c r="B696" s="3"/>
      <c r="C696" s="7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>
      <c r="A697" s="3"/>
      <c r="B697" s="3"/>
      <c r="C697" s="7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>
      <c r="A698" s="3"/>
      <c r="B698" s="3"/>
      <c r="C698" s="7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>
      <c r="A699" s="3"/>
      <c r="B699" s="3"/>
      <c r="C699" s="7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>
      <c r="A700" s="3"/>
      <c r="B700" s="3"/>
      <c r="C700" s="7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>
      <c r="A701" s="3"/>
      <c r="B701" s="3"/>
      <c r="C701" s="7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>
      <c r="A702" s="3"/>
      <c r="B702" s="3"/>
      <c r="C702" s="7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>
      <c r="A703" s="3"/>
      <c r="B703" s="3"/>
      <c r="C703" s="7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>
      <c r="A704" s="3"/>
      <c r="B704" s="3"/>
      <c r="C704" s="7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>
      <c r="A705" s="3"/>
      <c r="B705" s="3"/>
      <c r="C705" s="7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>
      <c r="A706" s="3"/>
      <c r="B706" s="3"/>
      <c r="C706" s="7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>
      <c r="A707" s="3"/>
      <c r="B707" s="3"/>
      <c r="C707" s="7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>
      <c r="A708" s="3"/>
      <c r="B708" s="3"/>
      <c r="C708" s="7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>
      <c r="A709" s="3"/>
      <c r="B709" s="3"/>
      <c r="C709" s="7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>
      <c r="A710" s="3"/>
      <c r="B710" s="3"/>
      <c r="C710" s="7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>
      <c r="A711" s="3"/>
      <c r="B711" s="3"/>
      <c r="C711" s="7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>
      <c r="A712" s="3"/>
      <c r="B712" s="3"/>
      <c r="C712" s="7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>
      <c r="A713" s="3"/>
      <c r="B713" s="3"/>
      <c r="C713" s="7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>
      <c r="A714" s="3"/>
      <c r="B714" s="3"/>
      <c r="C714" s="7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>
      <c r="A715" s="3"/>
      <c r="B715" s="3"/>
      <c r="C715" s="7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>
      <c r="A716" s="3"/>
      <c r="B716" s="3"/>
      <c r="C716" s="7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>
      <c r="A717" s="3"/>
      <c r="B717" s="3"/>
      <c r="C717" s="7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>
      <c r="A718" s="3"/>
      <c r="B718" s="3"/>
      <c r="C718" s="7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>
      <c r="A719" s="3"/>
      <c r="B719" s="3"/>
      <c r="C719" s="7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>
      <c r="A720" s="3"/>
      <c r="B720" s="3"/>
      <c r="C720" s="7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>
      <c r="A721" s="3"/>
      <c r="B721" s="3"/>
      <c r="C721" s="7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>
      <c r="A722" s="3"/>
      <c r="B722" s="3"/>
      <c r="C722" s="7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>
      <c r="A723" s="3"/>
      <c r="B723" s="3"/>
      <c r="C723" s="7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>
      <c r="A724" s="3"/>
      <c r="B724" s="3"/>
      <c r="C724" s="7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>
      <c r="A725" s="3"/>
      <c r="B725" s="3"/>
      <c r="C725" s="7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>
      <c r="A726" s="3"/>
      <c r="B726" s="3"/>
      <c r="C726" s="7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>
      <c r="A727" s="3"/>
      <c r="B727" s="3"/>
      <c r="C727" s="7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>
      <c r="A728" s="3"/>
      <c r="B728" s="3"/>
      <c r="C728" s="7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>
      <c r="A729" s="3"/>
      <c r="B729" s="3"/>
      <c r="C729" s="7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>
      <c r="A730" s="3"/>
      <c r="B730" s="3"/>
      <c r="C730" s="7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>
      <c r="A731" s="3"/>
      <c r="B731" s="3"/>
      <c r="C731" s="7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>
      <c r="A732" s="3"/>
      <c r="B732" s="3"/>
      <c r="C732" s="7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>
      <c r="A733" s="3"/>
      <c r="B733" s="3"/>
      <c r="C733" s="7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>
      <c r="A734" s="3"/>
      <c r="B734" s="3"/>
      <c r="C734" s="7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>
      <c r="A735" s="3"/>
      <c r="B735" s="3"/>
      <c r="C735" s="7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>
      <c r="A736" s="3"/>
      <c r="B736" s="3"/>
      <c r="C736" s="7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>
      <c r="A737" s="3"/>
      <c r="B737" s="3"/>
      <c r="C737" s="7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>
      <c r="A738" s="3"/>
      <c r="B738" s="3"/>
      <c r="C738" s="7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>
      <c r="A739" s="3"/>
      <c r="B739" s="3"/>
      <c r="C739" s="7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>
      <c r="A740" s="3"/>
      <c r="B740" s="3"/>
      <c r="C740" s="7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>
      <c r="A741" s="3"/>
      <c r="B741" s="3"/>
      <c r="C741" s="7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>
      <c r="A742" s="3"/>
      <c r="B742" s="3"/>
      <c r="C742" s="7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>
      <c r="A743" s="3"/>
      <c r="B743" s="3"/>
      <c r="C743" s="7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>
      <c r="A744" s="3"/>
      <c r="B744" s="3"/>
      <c r="C744" s="7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>
      <c r="A745" s="3"/>
      <c r="B745" s="3"/>
      <c r="C745" s="7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>
      <c r="A746" s="3"/>
      <c r="B746" s="3"/>
      <c r="C746" s="7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>
      <c r="A747" s="3"/>
      <c r="B747" s="3"/>
      <c r="C747" s="7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>
      <c r="A748" s="3"/>
      <c r="B748" s="3"/>
      <c r="C748" s="7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>
      <c r="A749" s="3"/>
      <c r="B749" s="3"/>
      <c r="C749" s="7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>
      <c r="A750" s="3"/>
      <c r="B750" s="3"/>
      <c r="C750" s="7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>
      <c r="A751" s="3"/>
      <c r="B751" s="3"/>
      <c r="C751" s="7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>
      <c r="A752" s="3"/>
      <c r="B752" s="3"/>
      <c r="C752" s="7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>
      <c r="A753" s="3"/>
      <c r="B753" s="3"/>
      <c r="C753" s="7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>
      <c r="A754" s="3"/>
      <c r="B754" s="3"/>
      <c r="C754" s="7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>
      <c r="A755" s="3"/>
      <c r="B755" s="3"/>
      <c r="C755" s="7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>
      <c r="A756" s="3"/>
      <c r="B756" s="3"/>
      <c r="C756" s="7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>
      <c r="A757" s="3"/>
      <c r="B757" s="3"/>
      <c r="C757" s="7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>
      <c r="A758" s="3"/>
      <c r="B758" s="3"/>
      <c r="C758" s="7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>
      <c r="A759" s="3"/>
      <c r="B759" s="3"/>
      <c r="C759" s="7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>
      <c r="A760" s="3"/>
      <c r="B760" s="3"/>
      <c r="C760" s="7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>
      <c r="A761" s="3"/>
      <c r="B761" s="3"/>
      <c r="C761" s="7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>
      <c r="A762" s="3"/>
      <c r="B762" s="3"/>
      <c r="C762" s="7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>
      <c r="A763" s="3"/>
      <c r="B763" s="3"/>
      <c r="C763" s="7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>
      <c r="A764" s="3"/>
      <c r="B764" s="3"/>
      <c r="C764" s="7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>
      <c r="A765" s="3"/>
      <c r="B765" s="3"/>
      <c r="C765" s="7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>
      <c r="A766" s="3"/>
      <c r="B766" s="3"/>
      <c r="C766" s="7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>
      <c r="A767" s="3"/>
      <c r="B767" s="3"/>
      <c r="C767" s="7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>
      <c r="A768" s="3"/>
      <c r="B768" s="3"/>
      <c r="C768" s="7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>
      <c r="A769" s="3"/>
      <c r="B769" s="3"/>
      <c r="C769" s="7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>
      <c r="A770" s="3"/>
      <c r="B770" s="3"/>
      <c r="C770" s="7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>
      <c r="A771" s="3"/>
      <c r="B771" s="3"/>
      <c r="C771" s="7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>
      <c r="A772" s="3"/>
      <c r="B772" s="3"/>
      <c r="C772" s="7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>
      <c r="A773" s="3"/>
      <c r="B773" s="3"/>
      <c r="C773" s="7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>
      <c r="A774" s="3"/>
      <c r="B774" s="3"/>
      <c r="C774" s="7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>
      <c r="A775" s="3"/>
      <c r="B775" s="3"/>
      <c r="C775" s="7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>
      <c r="A776" s="3"/>
      <c r="B776" s="3"/>
      <c r="C776" s="7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>
      <c r="A777" s="3"/>
      <c r="B777" s="3"/>
      <c r="C777" s="7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>
      <c r="A778" s="3"/>
      <c r="B778" s="3"/>
      <c r="C778" s="7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>
      <c r="A779" s="3"/>
      <c r="B779" s="3"/>
      <c r="C779" s="7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>
      <c r="A780" s="3"/>
      <c r="B780" s="3"/>
      <c r="C780" s="7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>
      <c r="A781" s="3"/>
      <c r="B781" s="3"/>
      <c r="C781" s="7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>
      <c r="A782" s="3"/>
      <c r="B782" s="3"/>
      <c r="C782" s="7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>
      <c r="A783" s="3"/>
      <c r="B783" s="3"/>
      <c r="C783" s="7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>
      <c r="A784" s="3"/>
      <c r="B784" s="3"/>
      <c r="C784" s="7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>
      <c r="A785" s="3"/>
      <c r="B785" s="3"/>
      <c r="C785" s="7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>
      <c r="A786" s="3"/>
      <c r="B786" s="3"/>
      <c r="C786" s="7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>
      <c r="A787" s="3"/>
      <c r="B787" s="3"/>
      <c r="C787" s="7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>
      <c r="A788" s="3"/>
      <c r="B788" s="3"/>
      <c r="C788" s="7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>
      <c r="A789" s="3"/>
      <c r="B789" s="3"/>
      <c r="C789" s="7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>
      <c r="A790" s="3"/>
      <c r="B790" s="3"/>
      <c r="C790" s="7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>
      <c r="A791" s="3"/>
      <c r="B791" s="3"/>
      <c r="C791" s="7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>
      <c r="A792" s="3"/>
      <c r="B792" s="3"/>
      <c r="C792" s="7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>
      <c r="A793" s="3"/>
      <c r="B793" s="3"/>
      <c r="C793" s="7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>
      <c r="A794" s="3"/>
      <c r="B794" s="3"/>
      <c r="C794" s="7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>
      <c r="A795" s="3"/>
      <c r="B795" s="3"/>
      <c r="C795" s="7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>
      <c r="A796" s="3"/>
      <c r="B796" s="3"/>
      <c r="C796" s="7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>
      <c r="A797" s="3"/>
      <c r="B797" s="3"/>
      <c r="C797" s="7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>
      <c r="A798" s="3"/>
      <c r="B798" s="3"/>
      <c r="C798" s="7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>
      <c r="A799" s="3"/>
      <c r="B799" s="3"/>
      <c r="C799" s="7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>
      <c r="A800" s="3"/>
      <c r="B800" s="3"/>
      <c r="C800" s="7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>
      <c r="A801" s="3"/>
      <c r="B801" s="3"/>
      <c r="C801" s="7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>
      <c r="A802" s="3"/>
      <c r="B802" s="3"/>
      <c r="C802" s="7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>
      <c r="A803" s="3"/>
      <c r="B803" s="3"/>
      <c r="C803" s="7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>
      <c r="A804" s="3"/>
      <c r="B804" s="3"/>
      <c r="C804" s="7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>
      <c r="A805" s="3"/>
      <c r="B805" s="3"/>
      <c r="C805" s="7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>
      <c r="A806" s="3"/>
      <c r="B806" s="3"/>
      <c r="C806" s="7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>
      <c r="A807" s="3"/>
      <c r="B807" s="3"/>
      <c r="C807" s="7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>
      <c r="A808" s="3"/>
      <c r="B808" s="3"/>
      <c r="C808" s="7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>
      <c r="A809" s="3"/>
      <c r="B809" s="3"/>
      <c r="C809" s="7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>
      <c r="A810" s="3"/>
      <c r="B810" s="3"/>
      <c r="C810" s="7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>
      <c r="A811" s="3"/>
      <c r="B811" s="3"/>
      <c r="C811" s="7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>
      <c r="A812" s="3"/>
      <c r="B812" s="3"/>
      <c r="C812" s="7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>
      <c r="A813" s="3"/>
      <c r="B813" s="3"/>
      <c r="C813" s="7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>
      <c r="A814" s="3"/>
      <c r="B814" s="3"/>
      <c r="C814" s="7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>
      <c r="A815" s="3"/>
      <c r="B815" s="3"/>
      <c r="C815" s="7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>
      <c r="A816" s="3"/>
      <c r="B816" s="3"/>
      <c r="C816" s="7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>
      <c r="A817" s="3"/>
      <c r="B817" s="3"/>
      <c r="C817" s="7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>
      <c r="A818" s="3"/>
      <c r="B818" s="3"/>
      <c r="C818" s="7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>
      <c r="A819" s="3"/>
      <c r="B819" s="3"/>
      <c r="C819" s="7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>
      <c r="A820" s="3"/>
      <c r="B820" s="3"/>
      <c r="C820" s="7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>
      <c r="A821" s="3"/>
      <c r="B821" s="3"/>
      <c r="C821" s="7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>
      <c r="A822" s="3"/>
      <c r="B822" s="3"/>
      <c r="C822" s="7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>
      <c r="A823" s="3"/>
      <c r="B823" s="3"/>
      <c r="C823" s="7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>
      <c r="A824" s="3"/>
      <c r="B824" s="3"/>
      <c r="C824" s="7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>
      <c r="A825" s="3"/>
      <c r="B825" s="3"/>
      <c r="C825" s="7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>
      <c r="A826" s="3"/>
      <c r="B826" s="3"/>
      <c r="C826" s="7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>
      <c r="A827" s="3"/>
      <c r="B827" s="3"/>
      <c r="C827" s="7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>
      <c r="A828" s="3"/>
      <c r="B828" s="3"/>
      <c r="C828" s="7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>
      <c r="A829" s="3"/>
      <c r="B829" s="3"/>
      <c r="C829" s="7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>
      <c r="A830" s="3"/>
      <c r="B830" s="3"/>
      <c r="C830" s="7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>
      <c r="A831" s="3"/>
      <c r="B831" s="3"/>
      <c r="C831" s="7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>
      <c r="A832" s="3"/>
      <c r="B832" s="3"/>
      <c r="C832" s="7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>
      <c r="A833" s="3"/>
      <c r="B833" s="3"/>
      <c r="C833" s="7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>
      <c r="A834" s="3"/>
      <c r="B834" s="3"/>
      <c r="C834" s="7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>
      <c r="A835" s="3"/>
      <c r="B835" s="3"/>
      <c r="C835" s="7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>
      <c r="A836" s="3"/>
      <c r="B836" s="3"/>
      <c r="C836" s="7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>
      <c r="A837" s="3"/>
      <c r="B837" s="3"/>
      <c r="C837" s="7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>
      <c r="A838" s="3"/>
      <c r="B838" s="3"/>
      <c r="C838" s="7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>
      <c r="A839" s="3"/>
      <c r="B839" s="3"/>
      <c r="C839" s="7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>
      <c r="A840" s="3"/>
      <c r="B840" s="3"/>
      <c r="C840" s="7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>
      <c r="A841" s="3"/>
      <c r="B841" s="3"/>
      <c r="C841" s="7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>
      <c r="A842" s="3"/>
      <c r="B842" s="3"/>
      <c r="C842" s="7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>
      <c r="A843" s="3"/>
      <c r="B843" s="3"/>
      <c r="C843" s="7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>
      <c r="A844" s="3"/>
      <c r="B844" s="3"/>
      <c r="C844" s="7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>
      <c r="A845" s="3"/>
      <c r="B845" s="3"/>
      <c r="C845" s="7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>
      <c r="A846" s="3"/>
      <c r="B846" s="3"/>
      <c r="C846" s="7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>
      <c r="A847" s="3"/>
      <c r="B847" s="3"/>
      <c r="C847" s="7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>
      <c r="A848" s="3"/>
      <c r="B848" s="3"/>
      <c r="C848" s="7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>
      <c r="A849" s="3"/>
      <c r="B849" s="3"/>
      <c r="C849" s="7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>
      <c r="A850" s="3"/>
      <c r="B850" s="3"/>
      <c r="C850" s="7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>
      <c r="A851" s="3"/>
      <c r="B851" s="3"/>
      <c r="C851" s="7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>
      <c r="A852" s="3"/>
      <c r="B852" s="3"/>
      <c r="C852" s="7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>
      <c r="A853" s="3"/>
      <c r="B853" s="3"/>
      <c r="C853" s="7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>
      <c r="A854" s="3"/>
      <c r="B854" s="3"/>
      <c r="C854" s="7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>
      <c r="A855" s="3"/>
      <c r="B855" s="3"/>
      <c r="C855" s="7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>
      <c r="A856" s="3"/>
      <c r="B856" s="3"/>
      <c r="C856" s="7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>
      <c r="A857" s="3"/>
      <c r="B857" s="3"/>
      <c r="C857" s="7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>
      <c r="A858" s="3"/>
      <c r="B858" s="3"/>
      <c r="C858" s="7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>
      <c r="A859" s="3"/>
      <c r="B859" s="3"/>
      <c r="C859" s="7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>
      <c r="A860" s="3"/>
      <c r="B860" s="3"/>
      <c r="C860" s="7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>
      <c r="A861" s="3"/>
      <c r="B861" s="3"/>
      <c r="C861" s="7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>
      <c r="A862" s="3"/>
      <c r="B862" s="3"/>
      <c r="C862" s="7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>
      <c r="A863" s="3"/>
      <c r="B863" s="3"/>
      <c r="C863" s="7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>
      <c r="A864" s="3"/>
      <c r="B864" s="3"/>
      <c r="C864" s="7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>
      <c r="A865" s="3"/>
      <c r="B865" s="3"/>
      <c r="C865" s="7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>
      <c r="A866" s="3"/>
      <c r="B866" s="3"/>
      <c r="C866" s="7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>
      <c r="A867" s="3"/>
      <c r="B867" s="3"/>
      <c r="C867" s="7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>
      <c r="A868" s="3"/>
      <c r="B868" s="3"/>
      <c r="C868" s="7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>
      <c r="A869" s="3"/>
      <c r="B869" s="3"/>
      <c r="C869" s="7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>
      <c r="A870" s="3"/>
      <c r="B870" s="3"/>
      <c r="C870" s="7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>
      <c r="A871" s="3"/>
      <c r="B871" s="3"/>
      <c r="C871" s="7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>
      <c r="A872" s="3"/>
      <c r="B872" s="3"/>
      <c r="C872" s="7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>
      <c r="A873" s="3"/>
      <c r="B873" s="3"/>
      <c r="C873" s="7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>
      <c r="A874" s="3"/>
      <c r="B874" s="3"/>
      <c r="C874" s="7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>
      <c r="A875" s="3"/>
      <c r="B875" s="3"/>
      <c r="C875" s="7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>
      <c r="A876" s="3"/>
      <c r="B876" s="3"/>
      <c r="C876" s="7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>
      <c r="A877" s="3"/>
      <c r="B877" s="3"/>
      <c r="C877" s="7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>
      <c r="A878" s="3"/>
      <c r="B878" s="3"/>
      <c r="C878" s="7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>
      <c r="A879" s="3"/>
      <c r="B879" s="3"/>
      <c r="C879" s="7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>
      <c r="A880" s="3"/>
      <c r="B880" s="3"/>
      <c r="C880" s="7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>
      <c r="A881" s="3"/>
      <c r="B881" s="3"/>
      <c r="C881" s="7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>
      <c r="A882" s="3"/>
      <c r="B882" s="3"/>
      <c r="C882" s="7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>
      <c r="A883" s="3"/>
      <c r="B883" s="3"/>
      <c r="C883" s="7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>
      <c r="A884" s="3"/>
      <c r="B884" s="3"/>
      <c r="C884" s="7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>
      <c r="A885" s="3"/>
      <c r="B885" s="3"/>
      <c r="C885" s="7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>
      <c r="A886" s="3"/>
      <c r="B886" s="3"/>
      <c r="C886" s="7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>
      <c r="A887" s="3"/>
      <c r="B887" s="3"/>
      <c r="C887" s="7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>
      <c r="A888" s="3"/>
      <c r="B888" s="3"/>
      <c r="C888" s="7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>
      <c r="A889" s="3"/>
      <c r="B889" s="3"/>
      <c r="C889" s="7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>
      <c r="A890" s="3"/>
      <c r="B890" s="3"/>
      <c r="C890" s="7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>
      <c r="A891" s="3"/>
      <c r="B891" s="3"/>
      <c r="C891" s="7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>
      <c r="A892" s="3"/>
      <c r="B892" s="3"/>
      <c r="C892" s="7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>
      <c r="A893" s="3"/>
      <c r="B893" s="3"/>
      <c r="C893" s="7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>
      <c r="A894" s="3"/>
      <c r="B894" s="3"/>
      <c r="C894" s="7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>
      <c r="A895" s="3"/>
      <c r="B895" s="3"/>
      <c r="C895" s="7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>
      <c r="A896" s="3"/>
      <c r="B896" s="3"/>
      <c r="C896" s="7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>
      <c r="A897" s="3"/>
      <c r="B897" s="3"/>
      <c r="C897" s="7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>
      <c r="A898" s="3"/>
      <c r="B898" s="3"/>
      <c r="C898" s="7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>
      <c r="A899" s="3"/>
      <c r="B899" s="3"/>
      <c r="C899" s="7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>
      <c r="A900" s="3"/>
      <c r="B900" s="3"/>
      <c r="C900" s="7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>
      <c r="A901" s="3"/>
      <c r="B901" s="3"/>
      <c r="C901" s="7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>
      <c r="A902" s="3"/>
      <c r="B902" s="3"/>
      <c r="C902" s="7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>
      <c r="A903" s="3"/>
      <c r="B903" s="3"/>
      <c r="C903" s="7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>
      <c r="A904" s="3"/>
      <c r="B904" s="3"/>
      <c r="C904" s="7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>
      <c r="A905" s="3"/>
      <c r="B905" s="3"/>
      <c r="C905" s="7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>
      <c r="A906" s="3"/>
      <c r="B906" s="3"/>
      <c r="C906" s="7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>
      <c r="A907" s="3"/>
      <c r="B907" s="3"/>
      <c r="C907" s="7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>
      <c r="A908" s="3"/>
      <c r="B908" s="3"/>
      <c r="C908" s="7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>
      <c r="A909" s="3"/>
      <c r="B909" s="3"/>
      <c r="C909" s="7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>
      <c r="A910" s="3"/>
      <c r="B910" s="3"/>
      <c r="C910" s="7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>
      <c r="A911" s="3"/>
      <c r="B911" s="3"/>
      <c r="C911" s="7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>
      <c r="A912" s="3"/>
      <c r="B912" s="3"/>
      <c r="C912" s="7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>
      <c r="A913" s="3"/>
      <c r="B913" s="3"/>
      <c r="C913" s="7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>
      <c r="A914" s="3"/>
      <c r="B914" s="3"/>
      <c r="C914" s="7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>
      <c r="A915" s="3"/>
      <c r="B915" s="3"/>
      <c r="C915" s="7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>
      <c r="A916" s="3"/>
      <c r="B916" s="3"/>
      <c r="C916" s="7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>
      <c r="A917" s="3"/>
      <c r="B917" s="3"/>
      <c r="C917" s="7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>
      <c r="A918" s="3"/>
      <c r="B918" s="3"/>
      <c r="C918" s="7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>
      <c r="A919" s="3"/>
      <c r="B919" s="3"/>
      <c r="C919" s="7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>
      <c r="A920" s="3"/>
      <c r="B920" s="3"/>
      <c r="C920" s="79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>
      <c r="A921" s="3"/>
      <c r="B921" s="3"/>
      <c r="C921" s="79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>
      <c r="A922" s="3"/>
      <c r="B922" s="3"/>
      <c r="C922" s="79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>
      <c r="A923" s="3"/>
      <c r="B923" s="3"/>
      <c r="C923" s="79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>
      <c r="A924" s="3"/>
      <c r="B924" s="3"/>
      <c r="C924" s="79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>
      <c r="A925" s="3"/>
      <c r="B925" s="3"/>
      <c r="C925" s="79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>
      <c r="A926" s="3"/>
      <c r="B926" s="3"/>
      <c r="C926" s="79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>
      <c r="A927" s="3"/>
      <c r="B927" s="3"/>
      <c r="C927" s="79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>
      <c r="A928" s="3"/>
      <c r="B928" s="3"/>
      <c r="C928" s="79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>
      <c r="A929" s="3"/>
      <c r="B929" s="3"/>
      <c r="C929" s="79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>
      <c r="A930" s="3"/>
      <c r="B930" s="3"/>
      <c r="C930" s="79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>
      <c r="A931" s="3"/>
      <c r="B931" s="3"/>
      <c r="C931" s="79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>
      <c r="A932" s="3"/>
      <c r="B932" s="3"/>
      <c r="C932" s="79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>
      <c r="A933" s="3"/>
      <c r="B933" s="3"/>
      <c r="C933" s="79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>
      <c r="A934" s="3"/>
      <c r="B934" s="3"/>
      <c r="C934" s="79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>
      <c r="A935" s="3"/>
      <c r="B935" s="3"/>
      <c r="C935" s="79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>
      <c r="A936" s="3"/>
      <c r="B936" s="3"/>
      <c r="C936" s="79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>
      <c r="A937" s="3"/>
      <c r="B937" s="3"/>
      <c r="C937" s="79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>
      <c r="A938" s="3"/>
      <c r="B938" s="3"/>
      <c r="C938" s="79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>
      <c r="A939" s="3"/>
      <c r="B939" s="3"/>
      <c r="C939" s="79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>
      <c r="A940" s="3"/>
      <c r="B940" s="3"/>
      <c r="C940" s="79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>
      <c r="A941" s="3"/>
      <c r="B941" s="3"/>
      <c r="C941" s="79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>
      <c r="A942" s="3"/>
      <c r="B942" s="3"/>
      <c r="C942" s="79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>
      <c r="A943" s="3"/>
      <c r="B943" s="3"/>
      <c r="C943" s="79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>
      <c r="A944" s="3"/>
      <c r="B944" s="3"/>
      <c r="C944" s="79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>
      <c r="A945" s="3"/>
      <c r="B945" s="3"/>
      <c r="C945" s="79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>
      <c r="A946" s="3"/>
      <c r="B946" s="3"/>
      <c r="C946" s="79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>
      <c r="A947" s="3"/>
      <c r="B947" s="3"/>
      <c r="C947" s="79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>
      <c r="A948" s="3"/>
      <c r="B948" s="3"/>
      <c r="C948" s="79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>
      <c r="A949" s="3"/>
      <c r="B949" s="3"/>
      <c r="C949" s="79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>
      <c r="A950" s="3"/>
      <c r="B950" s="3"/>
      <c r="C950" s="79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>
      <c r="A951" s="3"/>
      <c r="B951" s="3"/>
      <c r="C951" s="79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>
      <c r="A952" s="3"/>
      <c r="B952" s="3"/>
      <c r="C952" s="79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>
      <c r="A953" s="3"/>
      <c r="B953" s="3"/>
      <c r="C953" s="79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>
      <c r="A954" s="3"/>
      <c r="B954" s="3"/>
      <c r="C954" s="79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>
      <c r="A955" s="3"/>
      <c r="B955" s="3"/>
      <c r="C955" s="79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>
      <c r="A956" s="3"/>
      <c r="B956" s="3"/>
      <c r="C956" s="79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>
      <c r="A957" s="3"/>
      <c r="B957" s="3"/>
      <c r="C957" s="79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>
      <c r="A958" s="3"/>
      <c r="B958" s="3"/>
      <c r="C958" s="79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>
      <c r="A959" s="3"/>
      <c r="B959" s="3"/>
      <c r="C959" s="79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>
      <c r="A960" s="3"/>
      <c r="B960" s="3"/>
      <c r="C960" s="79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>
      <c r="A961" s="3"/>
      <c r="B961" s="3"/>
      <c r="C961" s="79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>
      <c r="A962" s="3"/>
      <c r="B962" s="3"/>
      <c r="C962" s="79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>
      <c r="A963" s="3"/>
      <c r="B963" s="3"/>
      <c r="C963" s="79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>
      <c r="A964" s="3"/>
      <c r="B964" s="3"/>
      <c r="C964" s="79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>
      <c r="A965" s="3"/>
      <c r="B965" s="3"/>
      <c r="C965" s="79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>
      <c r="A966" s="3"/>
      <c r="B966" s="3"/>
      <c r="C966" s="79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>
      <c r="A967" s="3"/>
      <c r="B967" s="3"/>
      <c r="C967" s="79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>
      <c r="A968" s="3"/>
      <c r="B968" s="3"/>
      <c r="C968" s="79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>
      <c r="A969" s="3"/>
      <c r="B969" s="3"/>
      <c r="C969" s="79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>
      <c r="A970" s="3"/>
      <c r="B970" s="3"/>
      <c r="C970" s="79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>
      <c r="A971" s="3"/>
      <c r="B971" s="3"/>
      <c r="C971" s="79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>
      <c r="A972" s="3"/>
      <c r="B972" s="3"/>
      <c r="C972" s="79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>
      <c r="A973" s="3"/>
      <c r="B973" s="3"/>
      <c r="C973" s="79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>
      <c r="A974" s="3"/>
      <c r="B974" s="3"/>
      <c r="C974" s="79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>
      <c r="A975" s="3"/>
      <c r="B975" s="3"/>
      <c r="C975" s="79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>
      <c r="A976" s="3"/>
      <c r="B976" s="3"/>
      <c r="C976" s="79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>
      <c r="A977" s="3"/>
      <c r="B977" s="3"/>
      <c r="C977" s="79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>
      <c r="A978" s="3"/>
      <c r="B978" s="3"/>
      <c r="C978" s="79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>
      <c r="A979" s="3"/>
      <c r="B979" s="3"/>
      <c r="C979" s="79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>
      <c r="A980" s="3"/>
      <c r="B980" s="3"/>
      <c r="C980" s="79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>
      <c r="A981" s="3"/>
      <c r="B981" s="3"/>
      <c r="C981" s="79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>
      <c r="A982" s="3"/>
      <c r="B982" s="3"/>
      <c r="C982" s="79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>
      <c r="A983" s="3"/>
      <c r="B983" s="3"/>
      <c r="C983" s="79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>
      <c r="A984" s="3"/>
      <c r="B984" s="3"/>
      <c r="C984" s="79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>
      <c r="A985" s="3"/>
      <c r="B985" s="3"/>
      <c r="C985" s="79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>
      <c r="A986" s="3"/>
      <c r="B986" s="3"/>
      <c r="C986" s="79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>
      <c r="A987" s="3"/>
      <c r="B987" s="3"/>
      <c r="C987" s="79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>
      <c r="A988" s="3"/>
      <c r="B988" s="3"/>
      <c r="C988" s="79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>
      <c r="A989" s="3"/>
      <c r="B989" s="3"/>
      <c r="C989" s="79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>
      <c r="A990" s="3"/>
      <c r="B990" s="3"/>
      <c r="C990" s="79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>
      <c r="A991" s="3"/>
      <c r="B991" s="3"/>
      <c r="C991" s="79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>
      <c r="A992" s="3"/>
      <c r="B992" s="3"/>
      <c r="C992" s="79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>
      <c r="A993" s="3"/>
      <c r="B993" s="3"/>
      <c r="C993" s="79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>
      <c r="A994" s="3"/>
      <c r="B994" s="3"/>
      <c r="C994" s="79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>
      <c r="A995" s="3"/>
      <c r="B995" s="3"/>
      <c r="C995" s="79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>
      <c r="A996" s="3"/>
      <c r="B996" s="3"/>
      <c r="C996" s="79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>
      <c r="A997" s="3"/>
      <c r="B997" s="3"/>
      <c r="C997" s="79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>
      <c r="A998" s="3"/>
      <c r="B998" s="3"/>
      <c r="C998" s="79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>
      <c r="A999" s="3"/>
      <c r="B999" s="3"/>
      <c r="C999" s="79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>
      <c r="A1000" s="3"/>
      <c r="B1000" s="3"/>
      <c r="C1000" s="79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>
      <c r="A1001" s="3"/>
      <c r="B1001" s="3"/>
      <c r="C1001" s="79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>
      <c r="A1002" s="3"/>
      <c r="B1002" s="3"/>
      <c r="C1002" s="79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>
      <c r="A1003" s="3"/>
      <c r="B1003" s="3"/>
      <c r="C1003" s="79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>
      <c r="A1004" s="3"/>
      <c r="B1004" s="3"/>
      <c r="C1004" s="79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>
      <c r="A1005" s="3"/>
      <c r="B1005" s="3"/>
      <c r="C1005" s="79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>
      <c r="A1006" s="3"/>
      <c r="B1006" s="3"/>
      <c r="C1006" s="79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>
      <c r="A1007" s="3"/>
      <c r="B1007" s="3"/>
      <c r="C1007" s="79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>
      <c r="A1008" s="3"/>
      <c r="B1008" s="3"/>
      <c r="C1008" s="79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>
      <c r="A1009" s="3"/>
      <c r="B1009" s="3"/>
      <c r="C1009" s="79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>
      <c r="A1010" s="3"/>
      <c r="B1010" s="3"/>
      <c r="C1010" s="79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>
      <c r="A1011" s="3"/>
      <c r="B1011" s="3"/>
      <c r="C1011" s="79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  <row r="1012">
      <c r="A1012" s="3"/>
      <c r="B1012" s="3"/>
      <c r="C1012" s="79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</row>
    <row r="1013">
      <c r="A1013" s="3"/>
      <c r="B1013" s="3"/>
      <c r="C1013" s="79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</row>
    <row r="1014">
      <c r="A1014" s="3"/>
      <c r="B1014" s="3"/>
      <c r="C1014" s="79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>
      <c r="A1015" s="3"/>
      <c r="B1015" s="3"/>
      <c r="C1015" s="79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</row>
    <row r="1016">
      <c r="A1016" s="3"/>
      <c r="B1016" s="3"/>
      <c r="C1016" s="79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</row>
    <row r="1017">
      <c r="A1017" s="3"/>
      <c r="B1017" s="3"/>
      <c r="C1017" s="79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</row>
    <row r="1018">
      <c r="A1018" s="3"/>
      <c r="B1018" s="3"/>
      <c r="C1018" s="79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</row>
    <row r="1019">
      <c r="A1019" s="3"/>
      <c r="B1019" s="3"/>
      <c r="C1019" s="79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</row>
    <row r="1020">
      <c r="A1020" s="3"/>
      <c r="B1020" s="3"/>
      <c r="C1020" s="79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>
      <c r="A1021" s="3"/>
      <c r="B1021" s="3"/>
      <c r="C1021" s="79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</row>
    <row r="1022">
      <c r="A1022" s="3"/>
      <c r="B1022" s="3"/>
      <c r="C1022" s="79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>
      <c r="A1023" s="3"/>
      <c r="B1023" s="3"/>
      <c r="C1023" s="79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</row>
    <row r="1024">
      <c r="A1024" s="3"/>
      <c r="B1024" s="3"/>
      <c r="C1024" s="79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>
      <c r="A1025" s="3"/>
      <c r="B1025" s="3"/>
      <c r="C1025" s="79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</row>
    <row r="1026">
      <c r="A1026" s="3"/>
      <c r="B1026" s="3"/>
      <c r="C1026" s="79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</row>
    <row r="1027">
      <c r="A1027" s="3"/>
      <c r="B1027" s="3"/>
      <c r="C1027" s="79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</row>
    <row r="1028">
      <c r="A1028" s="3"/>
      <c r="B1028" s="3"/>
      <c r="C1028" s="79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</row>
    <row r="1029">
      <c r="A1029" s="3"/>
      <c r="B1029" s="3"/>
      <c r="C1029" s="79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</row>
    <row r="1030">
      <c r="A1030" s="3"/>
      <c r="B1030" s="3"/>
      <c r="C1030" s="79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</row>
    <row r="1031">
      <c r="A1031" s="3"/>
      <c r="B1031" s="3"/>
      <c r="C1031" s="79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>
      <c r="A1032" s="3"/>
      <c r="B1032" s="3"/>
      <c r="C1032" s="79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>
      <c r="A1033" s="3"/>
      <c r="B1033" s="3"/>
      <c r="C1033" s="79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>
      <c r="A1034" s="3"/>
      <c r="B1034" s="3"/>
      <c r="C1034" s="79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>
      <c r="A1035" s="3"/>
      <c r="B1035" s="3"/>
      <c r="C1035" s="79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</row>
    <row r="1036">
      <c r="A1036" s="3"/>
      <c r="B1036" s="3"/>
      <c r="C1036" s="79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</row>
    <row r="1037">
      <c r="A1037" s="3"/>
      <c r="B1037" s="3"/>
      <c r="C1037" s="79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>
      <c r="A1038" s="3"/>
      <c r="B1038" s="3"/>
      <c r="C1038" s="79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</row>
    <row r="1039">
      <c r="A1039" s="3"/>
      <c r="B1039" s="3"/>
      <c r="C1039" s="79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>
      <c r="A1040" s="3"/>
      <c r="B1040" s="3"/>
      <c r="C1040" s="79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>
      <c r="A1041" s="3"/>
      <c r="B1041" s="3"/>
      <c r="C1041" s="79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>
      <c r="A1042" s="3"/>
      <c r="B1042" s="3"/>
      <c r="C1042" s="79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</row>
    <row r="1043">
      <c r="A1043" s="3"/>
      <c r="B1043" s="3"/>
      <c r="C1043" s="79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>
      <c r="A1044" s="3"/>
      <c r="B1044" s="3"/>
      <c r="C1044" s="79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</row>
    <row r="1045">
      <c r="A1045" s="3"/>
      <c r="B1045" s="3"/>
      <c r="C1045" s="79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</row>
    <row r="1046">
      <c r="A1046" s="3"/>
      <c r="B1046" s="3"/>
      <c r="C1046" s="79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</row>
    <row r="1047">
      <c r="A1047" s="3"/>
      <c r="B1047" s="3"/>
      <c r="C1047" s="79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</row>
    <row r="1048">
      <c r="A1048" s="3"/>
      <c r="B1048" s="3"/>
      <c r="C1048" s="79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</row>
    <row r="1049">
      <c r="A1049" s="3"/>
      <c r="B1049" s="3"/>
      <c r="C1049" s="79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</row>
    <row r="1050">
      <c r="A1050" s="3"/>
      <c r="B1050" s="3"/>
      <c r="C1050" s="79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</row>
    <row r="1051">
      <c r="A1051" s="3"/>
      <c r="B1051" s="3"/>
      <c r="C1051" s="79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</row>
    <row r="1052">
      <c r="A1052" s="3"/>
      <c r="B1052" s="3"/>
      <c r="C1052" s="79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>
      <c r="A1053" s="3"/>
      <c r="B1053" s="3"/>
      <c r="C1053" s="79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</row>
    <row r="1054">
      <c r="A1054" s="3"/>
      <c r="B1054" s="3"/>
      <c r="C1054" s="79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</row>
    <row r="1055">
      <c r="A1055" s="3"/>
      <c r="B1055" s="3"/>
      <c r="C1055" s="79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>
      <c r="A1056" s="3"/>
      <c r="B1056" s="3"/>
      <c r="C1056" s="79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>
      <c r="A1057" s="3"/>
      <c r="B1057" s="3"/>
      <c r="C1057" s="79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</row>
    <row r="1058">
      <c r="A1058" s="3"/>
      <c r="B1058" s="3"/>
      <c r="C1058" s="79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>
      <c r="A1059" s="3"/>
      <c r="B1059" s="3"/>
      <c r="C1059" s="79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>
      <c r="A1060" s="3"/>
      <c r="B1060" s="3"/>
      <c r="C1060" s="79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>
      <c r="A1061" s="3"/>
      <c r="B1061" s="3"/>
      <c r="C1061" s="79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>
      <c r="A1062" s="3"/>
      <c r="B1062" s="3"/>
      <c r="C1062" s="79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>
      <c r="A1063" s="3"/>
      <c r="B1063" s="3"/>
      <c r="C1063" s="79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>
      <c r="A1064" s="3"/>
      <c r="B1064" s="3"/>
      <c r="C1064" s="79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>
      <c r="A1065" s="3"/>
      <c r="B1065" s="3"/>
      <c r="C1065" s="79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>
      <c r="A1066" s="3"/>
      <c r="B1066" s="3"/>
      <c r="C1066" s="79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>
      <c r="A1067" s="3"/>
      <c r="B1067" s="3"/>
      <c r="C1067" s="79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>
      <c r="A1068" s="3"/>
      <c r="B1068" s="3"/>
      <c r="C1068" s="79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>
      <c r="A1069" s="3"/>
      <c r="B1069" s="3"/>
      <c r="C1069" s="79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>
      <c r="A1070" s="3"/>
      <c r="B1070" s="3"/>
      <c r="C1070" s="79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>
      <c r="A1071" s="3"/>
      <c r="B1071" s="3"/>
      <c r="C1071" s="79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>
      <c r="A1072" s="3"/>
      <c r="B1072" s="3"/>
      <c r="C1072" s="79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>
      <c r="A1073" s="3"/>
      <c r="B1073" s="3"/>
      <c r="C1073" s="79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>
      <c r="A1074" s="3"/>
      <c r="B1074" s="3"/>
      <c r="C1074" s="79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>
      <c r="A1075" s="3"/>
      <c r="B1075" s="3"/>
      <c r="C1075" s="79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>
      <c r="A1076" s="3"/>
      <c r="B1076" s="3"/>
      <c r="C1076" s="79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>
      <c r="A1077" s="3"/>
      <c r="B1077" s="3"/>
      <c r="C1077" s="79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>
      <c r="A1078" s="3"/>
      <c r="B1078" s="3"/>
      <c r="C1078" s="79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>
      <c r="A1079" s="3"/>
      <c r="B1079" s="3"/>
      <c r="C1079" s="79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>
      <c r="A1080" s="3"/>
      <c r="B1080" s="3"/>
      <c r="C1080" s="79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</row>
    <row r="1081">
      <c r="A1081" s="3"/>
      <c r="B1081" s="3"/>
      <c r="C1081" s="79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>
      <c r="A1082" s="3"/>
      <c r="B1082" s="3"/>
      <c r="C1082" s="79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>
      <c r="A1083" s="3"/>
      <c r="B1083" s="3"/>
      <c r="C1083" s="79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</row>
    <row r="1084">
      <c r="A1084" s="3"/>
      <c r="B1084" s="3"/>
      <c r="C1084" s="79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</row>
    <row r="1085">
      <c r="A1085" s="3"/>
      <c r="B1085" s="3"/>
      <c r="C1085" s="79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</row>
    <row r="1086">
      <c r="A1086" s="3"/>
      <c r="B1086" s="3"/>
      <c r="C1086" s="79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</row>
    <row r="1087">
      <c r="A1087" s="3"/>
      <c r="B1087" s="3"/>
      <c r="C1087" s="79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>
      <c r="A1088" s="3"/>
      <c r="B1088" s="3"/>
      <c r="C1088" s="79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</row>
    <row r="1089">
      <c r="A1089" s="3"/>
      <c r="B1089" s="3"/>
      <c r="C1089" s="79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</row>
    <row r="1090">
      <c r="A1090" s="3"/>
      <c r="B1090" s="3"/>
      <c r="C1090" s="79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</row>
    <row r="1091">
      <c r="A1091" s="3"/>
      <c r="B1091" s="3"/>
      <c r="C1091" s="79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</row>
    <row r="1092">
      <c r="A1092" s="3"/>
      <c r="B1092" s="3"/>
      <c r="C1092" s="79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</row>
    <row r="1093">
      <c r="A1093" s="3"/>
      <c r="B1093" s="3"/>
      <c r="C1093" s="79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</row>
    <row r="1094">
      <c r="A1094" s="3"/>
      <c r="B1094" s="3"/>
      <c r="C1094" s="79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>
      <c r="A1095" s="3"/>
      <c r="B1095" s="3"/>
      <c r="C1095" s="79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>
      <c r="A1096" s="3"/>
      <c r="B1096" s="3"/>
      <c r="C1096" s="79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>
      <c r="A1097" s="3"/>
      <c r="B1097" s="3"/>
      <c r="C1097" s="79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</row>
    <row r="1098">
      <c r="A1098" s="3"/>
      <c r="B1098" s="3"/>
      <c r="C1098" s="79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</row>
    <row r="1099">
      <c r="A1099" s="3"/>
      <c r="B1099" s="3"/>
      <c r="C1099" s="79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>
      <c r="A1100" s="3"/>
      <c r="B1100" s="3"/>
      <c r="C1100" s="79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</row>
    <row r="1101">
      <c r="A1101" s="3"/>
      <c r="B1101" s="3"/>
      <c r="C1101" s="79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</row>
    <row r="1102">
      <c r="A1102" s="3"/>
      <c r="B1102" s="3"/>
      <c r="C1102" s="79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</row>
    <row r="1103">
      <c r="A1103" s="3"/>
      <c r="B1103" s="3"/>
      <c r="C1103" s="79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</row>
    <row r="1104">
      <c r="A1104" s="3"/>
      <c r="B1104" s="3"/>
      <c r="C1104" s="79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</row>
    <row r="1105">
      <c r="A1105" s="3"/>
      <c r="B1105" s="3"/>
      <c r="C1105" s="79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>
      <c r="A1106" s="3"/>
      <c r="B1106" s="3"/>
      <c r="C1106" s="79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</row>
    <row r="1107">
      <c r="A1107" s="3"/>
      <c r="B1107" s="3"/>
      <c r="C1107" s="79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</row>
    <row r="1108">
      <c r="A1108" s="3"/>
      <c r="B1108" s="3"/>
      <c r="C1108" s="79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</row>
    <row r="1109">
      <c r="A1109" s="3"/>
      <c r="B1109" s="3"/>
      <c r="C1109" s="79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</row>
    <row r="1110">
      <c r="A1110" s="3"/>
      <c r="B1110" s="3"/>
      <c r="C1110" s="79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>
      <c r="A1111" s="3"/>
      <c r="B1111" s="3"/>
      <c r="C1111" s="79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>
      <c r="A1112" s="3"/>
      <c r="B1112" s="3"/>
      <c r="C1112" s="79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>
      <c r="A1113" s="3"/>
      <c r="B1113" s="3"/>
      <c r="C1113" s="79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</row>
    <row r="1114">
      <c r="A1114" s="3"/>
      <c r="B1114" s="3"/>
      <c r="C1114" s="79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>
      <c r="A1115" s="3"/>
      <c r="B1115" s="3"/>
      <c r="C1115" s="79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</row>
    <row r="1116">
      <c r="A1116" s="3"/>
      <c r="B1116" s="3"/>
      <c r="C1116" s="79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>
      <c r="A1117" s="3"/>
      <c r="B1117" s="3"/>
      <c r="C1117" s="79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</row>
    <row r="1118">
      <c r="A1118" s="3"/>
      <c r="B1118" s="3"/>
      <c r="C1118" s="79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>
      <c r="A1119" s="3"/>
      <c r="B1119" s="3"/>
      <c r="C1119" s="79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</row>
    <row r="1120">
      <c r="A1120" s="3"/>
      <c r="B1120" s="3"/>
      <c r="C1120" s="79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>
      <c r="A1121" s="3"/>
      <c r="B1121" s="3"/>
      <c r="C1121" s="79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>
      <c r="A1122" s="3"/>
      <c r="B1122" s="3"/>
      <c r="C1122" s="79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>
      <c r="A1123" s="3"/>
      <c r="B1123" s="3"/>
      <c r="C1123" s="79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</row>
    <row r="1124">
      <c r="A1124" s="3"/>
      <c r="B1124" s="3"/>
      <c r="C1124" s="79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</row>
    <row r="1125">
      <c r="A1125" s="3"/>
      <c r="B1125" s="3"/>
      <c r="C1125" s="79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>
      <c r="A1126" s="3"/>
      <c r="B1126" s="3"/>
      <c r="C1126" s="79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</row>
    <row r="1127">
      <c r="A1127" s="3"/>
      <c r="B1127" s="3"/>
      <c r="C1127" s="79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</row>
    <row r="1128">
      <c r="A1128" s="3"/>
      <c r="B1128" s="3"/>
      <c r="C1128" s="79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>
      <c r="A1129" s="3"/>
      <c r="B1129" s="3"/>
      <c r="C1129" s="79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>
      <c r="A1130" s="3"/>
      <c r="B1130" s="3"/>
      <c r="C1130" s="79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</row>
    <row r="1131">
      <c r="A1131" s="3"/>
      <c r="B1131" s="3"/>
      <c r="C1131" s="79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>
      <c r="A1132" s="3"/>
      <c r="B1132" s="3"/>
      <c r="C1132" s="79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</row>
    <row r="1133">
      <c r="A1133" s="3"/>
      <c r="B1133" s="3"/>
      <c r="C1133" s="79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>
      <c r="A1134" s="3"/>
      <c r="B1134" s="3"/>
      <c r="C1134" s="79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</row>
    <row r="1135">
      <c r="A1135" s="3"/>
      <c r="B1135" s="3"/>
      <c r="C1135" s="79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</row>
    <row r="1136">
      <c r="A1136" s="3"/>
      <c r="B1136" s="3"/>
      <c r="C1136" s="79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>
      <c r="A1137" s="3"/>
      <c r="B1137" s="3"/>
      <c r="C1137" s="79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</row>
    <row r="1138">
      <c r="A1138" s="3"/>
      <c r="B1138" s="3"/>
      <c r="C1138" s="79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</row>
    <row r="1139">
      <c r="A1139" s="3"/>
      <c r="B1139" s="3"/>
      <c r="C1139" s="79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>
      <c r="A1140" s="3"/>
      <c r="B1140" s="3"/>
      <c r="C1140" s="79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</row>
    <row r="1141">
      <c r="A1141" s="3"/>
      <c r="B1141" s="3"/>
      <c r="C1141" s="79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</row>
    <row r="1142">
      <c r="A1142" s="3"/>
      <c r="B1142" s="3"/>
      <c r="C1142" s="79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>
      <c r="A1143" s="3"/>
      <c r="B1143" s="3"/>
      <c r="C1143" s="79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</row>
    <row r="1144">
      <c r="A1144" s="3"/>
      <c r="B1144" s="3"/>
      <c r="C1144" s="79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</row>
    <row r="1145">
      <c r="A1145" s="3"/>
      <c r="B1145" s="3"/>
      <c r="C1145" s="79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</row>
    <row r="1146">
      <c r="A1146" s="3"/>
      <c r="B1146" s="3"/>
      <c r="C1146" s="79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>
      <c r="A1147" s="3"/>
      <c r="B1147" s="3"/>
      <c r="C1147" s="79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>
      <c r="A1148" s="3"/>
      <c r="B1148" s="3"/>
      <c r="C1148" s="79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>
      <c r="A1149" s="3"/>
      <c r="B1149" s="3"/>
      <c r="C1149" s="79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</row>
    <row r="1150">
      <c r="A1150" s="3"/>
      <c r="B1150" s="3"/>
      <c r="C1150" s="79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>
      <c r="A1151" s="3"/>
      <c r="B1151" s="3"/>
      <c r="C1151" s="79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</row>
    <row r="1152">
      <c r="A1152" s="3"/>
      <c r="B1152" s="3"/>
      <c r="C1152" s="79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</row>
    <row r="1153">
      <c r="A1153" s="3"/>
      <c r="B1153" s="3"/>
      <c r="C1153" s="79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</row>
    <row r="1154">
      <c r="A1154" s="3"/>
      <c r="B1154" s="3"/>
      <c r="C1154" s="79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</row>
    <row r="1155">
      <c r="A1155" s="3"/>
      <c r="B1155" s="3"/>
      <c r="C1155" s="79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</row>
    <row r="1156">
      <c r="A1156" s="3"/>
      <c r="B1156" s="3"/>
      <c r="C1156" s="79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>
      <c r="A1157" s="3"/>
      <c r="B1157" s="3"/>
      <c r="C1157" s="79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</row>
    <row r="1158">
      <c r="A1158" s="3"/>
      <c r="B1158" s="3"/>
      <c r="C1158" s="79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</row>
    <row r="1159">
      <c r="A1159" s="3"/>
      <c r="B1159" s="3"/>
      <c r="C1159" s="79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</row>
    <row r="1160">
      <c r="A1160" s="3"/>
      <c r="B1160" s="3"/>
      <c r="C1160" s="79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</row>
    <row r="1161">
      <c r="A1161" s="3"/>
      <c r="B1161" s="3"/>
      <c r="C1161" s="79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</row>
    <row r="1162">
      <c r="A1162" s="3"/>
      <c r="B1162" s="3"/>
      <c r="C1162" s="79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</row>
    <row r="1163">
      <c r="A1163" s="3"/>
      <c r="B1163" s="3"/>
      <c r="C1163" s="79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</row>
    <row r="1164">
      <c r="A1164" s="3"/>
      <c r="B1164" s="3"/>
      <c r="C1164" s="79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</row>
    <row r="1165">
      <c r="A1165" s="3"/>
      <c r="B1165" s="3"/>
      <c r="C1165" s="79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</row>
    <row r="1166">
      <c r="A1166" s="3"/>
      <c r="B1166" s="3"/>
      <c r="C1166" s="79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</row>
    <row r="1167">
      <c r="A1167" s="3"/>
      <c r="B1167" s="3"/>
      <c r="C1167" s="79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>
      <c r="A1168" s="3"/>
      <c r="B1168" s="3"/>
      <c r="C1168" s="79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</row>
    <row r="1169">
      <c r="A1169" s="3"/>
      <c r="B1169" s="3"/>
      <c r="C1169" s="79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</row>
    <row r="1170">
      <c r="A1170" s="3"/>
      <c r="B1170" s="3"/>
      <c r="C1170" s="79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</row>
    <row r="1171">
      <c r="A1171" s="3"/>
      <c r="B1171" s="3"/>
      <c r="C1171" s="79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</row>
    <row r="1172">
      <c r="A1172" s="3"/>
      <c r="B1172" s="3"/>
      <c r="C1172" s="79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</row>
    <row r="1173">
      <c r="A1173" s="3"/>
      <c r="B1173" s="3"/>
      <c r="C1173" s="79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>
      <c r="A1174" s="3"/>
      <c r="B1174" s="3"/>
      <c r="C1174" s="79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>
      <c r="A1175" s="3"/>
      <c r="B1175" s="3"/>
      <c r="C1175" s="79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>
      <c r="A1176" s="3"/>
      <c r="B1176" s="3"/>
      <c r="C1176" s="79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</row>
    <row r="1177">
      <c r="A1177" s="3"/>
      <c r="B1177" s="3"/>
      <c r="C1177" s="79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</row>
    <row r="1178">
      <c r="A1178" s="3"/>
      <c r="B1178" s="3"/>
      <c r="C1178" s="79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</row>
    <row r="1179">
      <c r="A1179" s="3"/>
      <c r="B1179" s="3"/>
      <c r="C1179" s="79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</row>
    <row r="1180">
      <c r="A1180" s="3"/>
      <c r="B1180" s="3"/>
      <c r="C1180" s="79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</row>
    <row r="1181">
      <c r="A1181" s="3"/>
      <c r="B1181" s="3"/>
      <c r="C1181" s="79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</row>
    <row r="1182">
      <c r="A1182" s="3"/>
      <c r="B1182" s="3"/>
      <c r="C1182" s="79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</row>
    <row r="1183">
      <c r="A1183" s="3"/>
      <c r="B1183" s="3"/>
      <c r="C1183" s="79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</row>
    <row r="1184">
      <c r="A1184" s="3"/>
      <c r="B1184" s="3"/>
      <c r="C1184" s="79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>
      <c r="A1185" s="3"/>
      <c r="B1185" s="3"/>
      <c r="C1185" s="79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</row>
    <row r="1186">
      <c r="A1186" s="3"/>
      <c r="B1186" s="3"/>
      <c r="C1186" s="79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</row>
    <row r="1187">
      <c r="A1187" s="3"/>
      <c r="B1187" s="3"/>
      <c r="C1187" s="79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</row>
    <row r="1188">
      <c r="A1188" s="3"/>
      <c r="B1188" s="3"/>
      <c r="C1188" s="79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</row>
    <row r="1189">
      <c r="A1189" s="3"/>
      <c r="B1189" s="3"/>
      <c r="C1189" s="79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</row>
    <row r="1190">
      <c r="A1190" s="3"/>
      <c r="B1190" s="3"/>
      <c r="C1190" s="79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>
      <c r="A1191" s="3"/>
      <c r="B1191" s="3"/>
      <c r="C1191" s="79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</row>
    <row r="1192">
      <c r="A1192" s="3"/>
      <c r="B1192" s="3"/>
      <c r="C1192" s="79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</row>
    <row r="1193">
      <c r="A1193" s="3"/>
      <c r="B1193" s="3"/>
      <c r="C1193" s="79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</row>
    <row r="1194">
      <c r="A1194" s="3"/>
      <c r="B1194" s="3"/>
      <c r="C1194" s="79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</row>
    <row r="1195">
      <c r="A1195" s="3"/>
      <c r="B1195" s="3"/>
      <c r="C1195" s="79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</row>
    <row r="1196">
      <c r="A1196" s="3"/>
      <c r="B1196" s="3"/>
      <c r="C1196" s="79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</row>
    <row r="1197">
      <c r="A1197" s="3"/>
      <c r="B1197" s="3"/>
      <c r="C1197" s="79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</row>
    <row r="1198">
      <c r="A1198" s="3"/>
      <c r="B1198" s="3"/>
      <c r="C1198" s="79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</row>
    <row r="1199">
      <c r="A1199" s="3"/>
      <c r="B1199" s="3"/>
      <c r="C1199" s="79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</row>
    <row r="1200">
      <c r="A1200" s="3"/>
      <c r="B1200" s="3"/>
      <c r="C1200" s="79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>
      <c r="A1201" s="3"/>
      <c r="B1201" s="3"/>
      <c r="C1201" s="79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>
      <c r="A1202" s="3"/>
      <c r="B1202" s="3"/>
      <c r="C1202" s="79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>
      <c r="A1203" s="3"/>
      <c r="B1203" s="3"/>
      <c r="C1203" s="79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>
      <c r="A1204" s="3"/>
      <c r="B1204" s="3"/>
      <c r="C1204" s="79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>
      <c r="A1205" s="3"/>
      <c r="B1205" s="3"/>
      <c r="C1205" s="79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</row>
    <row r="1206">
      <c r="A1206" s="3"/>
      <c r="B1206" s="3"/>
      <c r="C1206" s="79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</row>
    <row r="1207">
      <c r="A1207" s="3"/>
      <c r="B1207" s="3"/>
      <c r="C1207" s="79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</row>
    <row r="1208">
      <c r="A1208" s="3"/>
      <c r="B1208" s="3"/>
      <c r="C1208" s="79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</row>
    <row r="1209">
      <c r="A1209" s="3"/>
      <c r="B1209" s="3"/>
      <c r="C1209" s="79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</row>
    <row r="1210">
      <c r="A1210" s="3"/>
      <c r="B1210" s="3"/>
      <c r="C1210" s="79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>
      <c r="A1211" s="3"/>
      <c r="B1211" s="3"/>
      <c r="C1211" s="79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</row>
    <row r="1212">
      <c r="A1212" s="3"/>
      <c r="B1212" s="3"/>
      <c r="C1212" s="79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</row>
    <row r="1213">
      <c r="A1213" s="3"/>
      <c r="B1213" s="3"/>
      <c r="C1213" s="79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</row>
    <row r="1214">
      <c r="A1214" s="3"/>
      <c r="B1214" s="3"/>
      <c r="C1214" s="79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</row>
    <row r="1215">
      <c r="A1215" s="3"/>
      <c r="B1215" s="3"/>
      <c r="C1215" s="79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</row>
    <row r="1216">
      <c r="A1216" s="3"/>
      <c r="B1216" s="3"/>
      <c r="C1216" s="79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</row>
    <row r="1217">
      <c r="A1217" s="3"/>
      <c r="B1217" s="3"/>
      <c r="C1217" s="79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</row>
    <row r="1218">
      <c r="A1218" s="3"/>
      <c r="B1218" s="3"/>
      <c r="C1218" s="79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</row>
    <row r="1219">
      <c r="A1219" s="3"/>
      <c r="B1219" s="3"/>
      <c r="C1219" s="79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</row>
    <row r="1220">
      <c r="A1220" s="3"/>
      <c r="B1220" s="3"/>
      <c r="C1220" s="79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</row>
    <row r="1221">
      <c r="A1221" s="3"/>
      <c r="B1221" s="3"/>
      <c r="C1221" s="79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>
      <c r="A1222" s="3"/>
      <c r="B1222" s="3"/>
      <c r="C1222" s="79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</row>
    <row r="1223">
      <c r="A1223" s="3"/>
      <c r="B1223" s="3"/>
      <c r="C1223" s="79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</row>
    <row r="1224">
      <c r="A1224" s="3"/>
      <c r="B1224" s="3"/>
      <c r="C1224" s="79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</row>
    <row r="1225">
      <c r="A1225" s="3"/>
      <c r="B1225" s="3"/>
      <c r="C1225" s="79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</row>
    <row r="1226">
      <c r="A1226" s="3"/>
      <c r="B1226" s="3"/>
      <c r="C1226" s="79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</row>
    <row r="1227">
      <c r="A1227" s="3"/>
      <c r="B1227" s="3"/>
      <c r="C1227" s="79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>
      <c r="A1228" s="3"/>
      <c r="B1228" s="3"/>
      <c r="C1228" s="79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>
      <c r="A1229" s="3"/>
      <c r="B1229" s="3"/>
      <c r="C1229" s="79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>
      <c r="A1230" s="3"/>
      <c r="B1230" s="3"/>
      <c r="C1230" s="79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</row>
    <row r="1231">
      <c r="A1231" s="3"/>
      <c r="B1231" s="3"/>
      <c r="C1231" s="79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</row>
    <row r="1232">
      <c r="A1232" s="3"/>
      <c r="B1232" s="3"/>
      <c r="C1232" s="79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</row>
    <row r="1233">
      <c r="A1233" s="3"/>
      <c r="B1233" s="3"/>
      <c r="C1233" s="79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</row>
    <row r="1234">
      <c r="A1234" s="3"/>
      <c r="B1234" s="3"/>
      <c r="C1234" s="79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</row>
    <row r="1235">
      <c r="A1235" s="3"/>
      <c r="B1235" s="3"/>
      <c r="C1235" s="79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</row>
    <row r="1236">
      <c r="A1236" s="3"/>
      <c r="B1236" s="3"/>
      <c r="C1236" s="79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</row>
    <row r="1237">
      <c r="A1237" s="3"/>
      <c r="B1237" s="3"/>
      <c r="C1237" s="79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</row>
    <row r="1238">
      <c r="A1238" s="3"/>
      <c r="B1238" s="3"/>
      <c r="C1238" s="79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</row>
    <row r="1239">
      <c r="A1239" s="3"/>
      <c r="B1239" s="3"/>
      <c r="C1239" s="79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</row>
    <row r="1240">
      <c r="A1240" s="3"/>
      <c r="B1240" s="3"/>
      <c r="C1240" s="79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</row>
    <row r="1241">
      <c r="A1241" s="3"/>
      <c r="B1241" s="3"/>
      <c r="C1241" s="79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>
      <c r="A1242" s="3"/>
      <c r="B1242" s="3"/>
      <c r="C1242" s="79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</row>
    <row r="1243">
      <c r="A1243" s="3"/>
      <c r="B1243" s="3"/>
      <c r="C1243" s="79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</row>
    <row r="1244">
      <c r="A1244" s="3"/>
      <c r="B1244" s="3"/>
      <c r="C1244" s="79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</row>
    <row r="1245">
      <c r="A1245" s="3"/>
      <c r="B1245" s="3"/>
      <c r="C1245" s="79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</row>
    <row r="1246">
      <c r="A1246" s="3"/>
      <c r="B1246" s="3"/>
      <c r="C1246" s="79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</row>
    <row r="1247">
      <c r="A1247" s="3"/>
      <c r="B1247" s="3"/>
      <c r="C1247" s="79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>
      <c r="A1248" s="3"/>
      <c r="B1248" s="3"/>
      <c r="C1248" s="79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</row>
    <row r="1249">
      <c r="A1249" s="3"/>
      <c r="B1249" s="3"/>
      <c r="C1249" s="79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</row>
    <row r="1250">
      <c r="A1250" s="3"/>
      <c r="B1250" s="3"/>
      <c r="C1250" s="79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</row>
    <row r="1251">
      <c r="A1251" s="3"/>
      <c r="B1251" s="3"/>
      <c r="C1251" s="79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>
      <c r="A1252" s="3"/>
      <c r="B1252" s="3"/>
      <c r="C1252" s="79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>
      <c r="A1253" s="3"/>
      <c r="B1253" s="3"/>
      <c r="C1253" s="79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</row>
    <row r="1254">
      <c r="A1254" s="3"/>
      <c r="B1254" s="3"/>
      <c r="C1254" s="79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>
      <c r="A1255" s="3"/>
      <c r="B1255" s="3"/>
      <c r="C1255" s="79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>
      <c r="A1256" s="3"/>
      <c r="B1256" s="3"/>
      <c r="C1256" s="79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</row>
    <row r="1257">
      <c r="A1257" s="3"/>
      <c r="B1257" s="3"/>
      <c r="C1257" s="79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</row>
    <row r="1258">
      <c r="A1258" s="3"/>
      <c r="B1258" s="3"/>
      <c r="C1258" s="79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</row>
    <row r="1259">
      <c r="A1259" s="3"/>
      <c r="B1259" s="3"/>
      <c r="C1259" s="79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</row>
    <row r="1260">
      <c r="A1260" s="3"/>
      <c r="B1260" s="3"/>
      <c r="C1260" s="79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</row>
    <row r="1261">
      <c r="A1261" s="3"/>
      <c r="B1261" s="3"/>
      <c r="C1261" s="79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>
      <c r="A1262" s="3"/>
      <c r="B1262" s="3"/>
      <c r="C1262" s="79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</row>
    <row r="1263">
      <c r="A1263" s="3"/>
      <c r="B1263" s="3"/>
      <c r="C1263" s="79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</row>
    <row r="1264">
      <c r="A1264" s="3"/>
      <c r="B1264" s="3"/>
      <c r="C1264" s="79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</row>
    <row r="1265">
      <c r="A1265" s="3"/>
      <c r="B1265" s="3"/>
      <c r="C1265" s="79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</row>
    <row r="1266">
      <c r="A1266" s="3"/>
      <c r="B1266" s="3"/>
      <c r="C1266" s="79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</row>
    <row r="1267">
      <c r="A1267" s="3"/>
      <c r="B1267" s="3"/>
      <c r="C1267" s="79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>
      <c r="A1268" s="3"/>
      <c r="B1268" s="3"/>
      <c r="C1268" s="79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</row>
    <row r="1269">
      <c r="A1269" s="3"/>
      <c r="B1269" s="3"/>
      <c r="C1269" s="79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</row>
    <row r="1270">
      <c r="A1270" s="3"/>
      <c r="B1270" s="3"/>
      <c r="C1270" s="79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</row>
    <row r="1271">
      <c r="A1271" s="3"/>
      <c r="B1271" s="3"/>
      <c r="C1271" s="79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</row>
    <row r="1272">
      <c r="A1272" s="3"/>
      <c r="B1272" s="3"/>
      <c r="C1272" s="79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</row>
    <row r="1273">
      <c r="A1273" s="3"/>
      <c r="B1273" s="3"/>
      <c r="C1273" s="79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</row>
    <row r="1274">
      <c r="A1274" s="3"/>
      <c r="B1274" s="3"/>
      <c r="C1274" s="79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</row>
    <row r="1275">
      <c r="A1275" s="3"/>
      <c r="B1275" s="3"/>
      <c r="C1275" s="79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</row>
    <row r="1276">
      <c r="A1276" s="3"/>
      <c r="B1276" s="3"/>
      <c r="C1276" s="79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</row>
    <row r="1277">
      <c r="A1277" s="3"/>
      <c r="B1277" s="3"/>
      <c r="C1277" s="79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</row>
    <row r="1278">
      <c r="A1278" s="3"/>
      <c r="B1278" s="3"/>
      <c r="C1278" s="79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>
      <c r="A1279" s="3"/>
      <c r="B1279" s="3"/>
      <c r="C1279" s="79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>
      <c r="A1280" s="3"/>
      <c r="B1280" s="3"/>
      <c r="C1280" s="79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</row>
    <row r="1281">
      <c r="A1281" s="3"/>
      <c r="B1281" s="3"/>
      <c r="C1281" s="79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>
      <c r="A1282" s="3"/>
      <c r="B1282" s="3"/>
      <c r="C1282" s="79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</row>
    <row r="1283">
      <c r="A1283" s="3"/>
      <c r="B1283" s="3"/>
      <c r="C1283" s="79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</row>
    <row r="1284">
      <c r="A1284" s="3"/>
      <c r="B1284" s="3"/>
      <c r="C1284" s="79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</row>
    <row r="1285">
      <c r="A1285" s="3"/>
      <c r="B1285" s="3"/>
      <c r="C1285" s="79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</row>
    <row r="1286">
      <c r="A1286" s="3"/>
      <c r="B1286" s="3"/>
      <c r="C1286" s="79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</row>
    <row r="1287">
      <c r="A1287" s="3"/>
      <c r="B1287" s="3"/>
      <c r="C1287" s="79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>
      <c r="A1288" s="3"/>
      <c r="B1288" s="3"/>
      <c r="C1288" s="79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</row>
    <row r="1289">
      <c r="A1289" s="3"/>
      <c r="B1289" s="3"/>
      <c r="C1289" s="79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</row>
    <row r="1290">
      <c r="A1290" s="3"/>
      <c r="B1290" s="3"/>
      <c r="C1290" s="79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</row>
    <row r="1291">
      <c r="A1291" s="3"/>
      <c r="B1291" s="3"/>
      <c r="C1291" s="79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</row>
    <row r="1292">
      <c r="A1292" s="3"/>
      <c r="B1292" s="3"/>
      <c r="C1292" s="79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</row>
    <row r="1293">
      <c r="A1293" s="3"/>
      <c r="B1293" s="3"/>
      <c r="C1293" s="79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</row>
    <row r="1294">
      <c r="A1294" s="3"/>
      <c r="B1294" s="3"/>
      <c r="C1294" s="79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>
      <c r="A1295" s="3"/>
      <c r="B1295" s="3"/>
      <c r="C1295" s="79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</row>
    <row r="1296">
      <c r="A1296" s="3"/>
      <c r="B1296" s="3"/>
      <c r="C1296" s="79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</row>
    <row r="1297">
      <c r="A1297" s="3"/>
      <c r="B1297" s="3"/>
      <c r="C1297" s="79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</row>
    <row r="1298">
      <c r="A1298" s="3"/>
      <c r="B1298" s="3"/>
      <c r="C1298" s="79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</row>
    <row r="1299">
      <c r="A1299" s="3"/>
      <c r="B1299" s="3"/>
      <c r="C1299" s="79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</row>
    <row r="1300">
      <c r="A1300" s="3"/>
      <c r="B1300" s="3"/>
      <c r="C1300" s="79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</row>
    <row r="1301">
      <c r="A1301" s="3"/>
      <c r="B1301" s="3"/>
      <c r="C1301" s="79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>
      <c r="A1302" s="3"/>
      <c r="B1302" s="3"/>
      <c r="C1302" s="79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</row>
    <row r="1303">
      <c r="A1303" s="3"/>
      <c r="B1303" s="3"/>
      <c r="C1303" s="79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>
      <c r="A1304" s="3"/>
      <c r="B1304" s="3"/>
      <c r="C1304" s="79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>
      <c r="A1305" s="3"/>
      <c r="B1305" s="3"/>
      <c r="C1305" s="79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>
      <c r="A1306" s="3"/>
      <c r="B1306" s="3"/>
      <c r="C1306" s="79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</row>
    <row r="1307">
      <c r="A1307" s="3"/>
      <c r="B1307" s="3"/>
      <c r="C1307" s="79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>
      <c r="A1308" s="3"/>
      <c r="B1308" s="3"/>
      <c r="C1308" s="79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</row>
    <row r="1309">
      <c r="A1309" s="3"/>
      <c r="B1309" s="3"/>
      <c r="C1309" s="79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</row>
    <row r="1310">
      <c r="A1310" s="3"/>
      <c r="B1310" s="3"/>
      <c r="C1310" s="79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</row>
    <row r="1311">
      <c r="A1311" s="3"/>
      <c r="B1311" s="3"/>
      <c r="C1311" s="79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</row>
    <row r="1312">
      <c r="A1312" s="3"/>
      <c r="B1312" s="3"/>
      <c r="C1312" s="79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</row>
    <row r="1313">
      <c r="A1313" s="3"/>
      <c r="B1313" s="3"/>
      <c r="C1313" s="79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</row>
    <row r="1314">
      <c r="A1314" s="3"/>
      <c r="B1314" s="3"/>
      <c r="C1314" s="79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</row>
    <row r="1315">
      <c r="A1315" s="3"/>
      <c r="B1315" s="3"/>
      <c r="C1315" s="79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</row>
    <row r="1316">
      <c r="A1316" s="3"/>
      <c r="B1316" s="3"/>
      <c r="C1316" s="79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</row>
    <row r="1317">
      <c r="A1317" s="3"/>
      <c r="B1317" s="3"/>
      <c r="C1317" s="79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</row>
    <row r="1318">
      <c r="A1318" s="3"/>
      <c r="B1318" s="3"/>
      <c r="C1318" s="79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</row>
    <row r="1319">
      <c r="A1319" s="3"/>
      <c r="B1319" s="3"/>
      <c r="C1319" s="79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</row>
    <row r="1320">
      <c r="A1320" s="3"/>
      <c r="B1320" s="3"/>
      <c r="C1320" s="79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</row>
    <row r="1321">
      <c r="A1321" s="3"/>
      <c r="B1321" s="3"/>
      <c r="C1321" s="79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>
      <c r="A1322" s="3"/>
      <c r="B1322" s="3"/>
      <c r="C1322" s="79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>
      <c r="A1323" s="3"/>
      <c r="B1323" s="3"/>
      <c r="C1323" s="79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</row>
    <row r="1324">
      <c r="A1324" s="3"/>
      <c r="B1324" s="3"/>
      <c r="C1324" s="79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>
      <c r="A1325" s="3"/>
      <c r="B1325" s="3"/>
      <c r="C1325" s="79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</row>
    <row r="1326">
      <c r="A1326" s="3"/>
      <c r="B1326" s="3"/>
      <c r="C1326" s="79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</row>
    <row r="1327">
      <c r="A1327" s="3"/>
      <c r="B1327" s="3"/>
      <c r="C1327" s="79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>
      <c r="A1328" s="3"/>
      <c r="B1328" s="3"/>
      <c r="C1328" s="79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</row>
    <row r="1329">
      <c r="A1329" s="3"/>
      <c r="B1329" s="3"/>
      <c r="C1329" s="79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</row>
    <row r="1330">
      <c r="A1330" s="3"/>
      <c r="B1330" s="3"/>
      <c r="C1330" s="79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</row>
    <row r="1331">
      <c r="A1331" s="3"/>
      <c r="B1331" s="3"/>
      <c r="C1331" s="79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</row>
    <row r="1332">
      <c r="A1332" s="3"/>
      <c r="B1332" s="3"/>
      <c r="C1332" s="79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</row>
    <row r="1333">
      <c r="A1333" s="3"/>
      <c r="B1333" s="3"/>
      <c r="C1333" s="79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>
      <c r="A1334" s="3"/>
      <c r="B1334" s="3"/>
      <c r="C1334" s="79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>
      <c r="A1335" s="3"/>
      <c r="B1335" s="3"/>
      <c r="C1335" s="79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>
      <c r="A1336" s="3"/>
      <c r="B1336" s="3"/>
      <c r="C1336" s="79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>
      <c r="A1337" s="3"/>
      <c r="B1337" s="3"/>
      <c r="C1337" s="79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</row>
    <row r="1338">
      <c r="A1338" s="3"/>
      <c r="B1338" s="3"/>
      <c r="C1338" s="79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</row>
    <row r="1339">
      <c r="A1339" s="3"/>
      <c r="B1339" s="3"/>
      <c r="C1339" s="79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</row>
    <row r="1340">
      <c r="A1340" s="3"/>
      <c r="B1340" s="3"/>
      <c r="C1340" s="79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</row>
    <row r="1341">
      <c r="A1341" s="3"/>
      <c r="B1341" s="3"/>
      <c r="C1341" s="79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>
      <c r="A1342" s="3"/>
      <c r="B1342" s="3"/>
      <c r="C1342" s="79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</row>
    <row r="1343">
      <c r="A1343" s="3"/>
      <c r="B1343" s="3"/>
      <c r="C1343" s="79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</row>
    <row r="1344">
      <c r="A1344" s="3"/>
      <c r="B1344" s="3"/>
      <c r="C1344" s="79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</row>
    <row r="1345">
      <c r="A1345" s="3"/>
      <c r="B1345" s="3"/>
      <c r="C1345" s="79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</row>
    <row r="1346">
      <c r="A1346" s="3"/>
      <c r="B1346" s="3"/>
      <c r="C1346" s="79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</row>
    <row r="1347">
      <c r="A1347" s="3"/>
      <c r="B1347" s="3"/>
      <c r="C1347" s="79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>
      <c r="A1348" s="3"/>
      <c r="B1348" s="3"/>
      <c r="C1348" s="79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</row>
    <row r="1349">
      <c r="A1349" s="3"/>
      <c r="B1349" s="3"/>
      <c r="C1349" s="79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</row>
    <row r="1350">
      <c r="A1350" s="3"/>
      <c r="B1350" s="3"/>
      <c r="C1350" s="79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</row>
    <row r="1351">
      <c r="A1351" s="3"/>
      <c r="B1351" s="3"/>
      <c r="C1351" s="79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</row>
    <row r="1352">
      <c r="A1352" s="3"/>
      <c r="B1352" s="3"/>
      <c r="C1352" s="79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</row>
    <row r="1353">
      <c r="A1353" s="3"/>
      <c r="B1353" s="3"/>
      <c r="C1353" s="79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</row>
    <row r="1354">
      <c r="A1354" s="3"/>
      <c r="B1354" s="3"/>
      <c r="C1354" s="79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</row>
    <row r="1355">
      <c r="A1355" s="3"/>
      <c r="B1355" s="3"/>
      <c r="C1355" s="79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</row>
    <row r="1356">
      <c r="A1356" s="3"/>
      <c r="B1356" s="3"/>
      <c r="C1356" s="79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</row>
    <row r="1357">
      <c r="A1357" s="3"/>
      <c r="B1357" s="3"/>
      <c r="C1357" s="79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</row>
    <row r="1358">
      <c r="A1358" s="3"/>
      <c r="B1358" s="3"/>
      <c r="C1358" s="79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</row>
    <row r="1359">
      <c r="A1359" s="3"/>
      <c r="B1359" s="3"/>
      <c r="C1359" s="79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</row>
    <row r="1360">
      <c r="A1360" s="3"/>
      <c r="B1360" s="3"/>
      <c r="C1360" s="79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</row>
    <row r="1361">
      <c r="A1361" s="3"/>
      <c r="B1361" s="3"/>
      <c r="C1361" s="79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>
      <c r="A1362" s="3"/>
      <c r="B1362" s="3"/>
      <c r="C1362" s="79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>
      <c r="A1363" s="3"/>
      <c r="B1363" s="3"/>
      <c r="C1363" s="79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</row>
    <row r="1364">
      <c r="A1364" s="3"/>
      <c r="B1364" s="3"/>
      <c r="C1364" s="79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>
      <c r="A1365" s="3"/>
      <c r="B1365" s="3"/>
      <c r="C1365" s="79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</row>
    <row r="1366">
      <c r="A1366" s="3"/>
      <c r="B1366" s="3"/>
      <c r="C1366" s="79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</row>
    <row r="1367">
      <c r="A1367" s="3"/>
      <c r="B1367" s="3"/>
      <c r="C1367" s="79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>
      <c r="A1368" s="3"/>
      <c r="B1368" s="3"/>
      <c r="C1368" s="79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</row>
    <row r="1369">
      <c r="A1369" s="3"/>
      <c r="B1369" s="3"/>
      <c r="C1369" s="79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</row>
    <row r="1370">
      <c r="A1370" s="3"/>
      <c r="B1370" s="3"/>
      <c r="C1370" s="79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</row>
    <row r="1371">
      <c r="A1371" s="3"/>
      <c r="B1371" s="3"/>
      <c r="C1371" s="79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</row>
    <row r="1372">
      <c r="A1372" s="3"/>
      <c r="B1372" s="3"/>
      <c r="C1372" s="79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</row>
    <row r="1373">
      <c r="A1373" s="3"/>
      <c r="B1373" s="3"/>
      <c r="C1373" s="79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</row>
    <row r="1374">
      <c r="A1374" s="3"/>
      <c r="B1374" s="3"/>
      <c r="C1374" s="79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</row>
    <row r="1375">
      <c r="A1375" s="3"/>
      <c r="B1375" s="3"/>
      <c r="C1375" s="79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</row>
    <row r="1376">
      <c r="A1376" s="3"/>
      <c r="B1376" s="3"/>
      <c r="C1376" s="79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</row>
    <row r="1377">
      <c r="A1377" s="3"/>
      <c r="B1377" s="3"/>
      <c r="C1377" s="79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>
      <c r="A1378" s="3"/>
      <c r="B1378" s="3"/>
      <c r="C1378" s="79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</row>
    <row r="1379">
      <c r="A1379" s="3"/>
      <c r="B1379" s="3"/>
      <c r="C1379" s="79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</row>
    <row r="1380">
      <c r="A1380" s="3"/>
      <c r="B1380" s="3"/>
      <c r="C1380" s="79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</row>
    <row r="1381">
      <c r="A1381" s="3"/>
      <c r="B1381" s="3"/>
      <c r="C1381" s="79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>
      <c r="A1382" s="3"/>
      <c r="B1382" s="3"/>
      <c r="C1382" s="79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</row>
    <row r="1383">
      <c r="A1383" s="3"/>
      <c r="B1383" s="3"/>
      <c r="C1383" s="79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</row>
    <row r="1384">
      <c r="A1384" s="3"/>
      <c r="B1384" s="3"/>
      <c r="C1384" s="79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</row>
    <row r="1385">
      <c r="A1385" s="3"/>
      <c r="B1385" s="3"/>
      <c r="C1385" s="79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</row>
    <row r="1386">
      <c r="A1386" s="3"/>
      <c r="B1386" s="3"/>
      <c r="C1386" s="79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</row>
    <row r="1387">
      <c r="A1387" s="3"/>
      <c r="B1387" s="3"/>
      <c r="C1387" s="79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>
      <c r="A1388" s="3"/>
      <c r="B1388" s="3"/>
      <c r="C1388" s="79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</row>
    <row r="1389">
      <c r="A1389" s="3"/>
      <c r="B1389" s="3"/>
      <c r="C1389" s="79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>
      <c r="A1390" s="3"/>
      <c r="B1390" s="3"/>
      <c r="C1390" s="79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>
      <c r="A1391" s="3"/>
      <c r="B1391" s="3"/>
      <c r="C1391" s="79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>
      <c r="A1392" s="3"/>
      <c r="B1392" s="3"/>
      <c r="C1392" s="79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</row>
    <row r="1393">
      <c r="A1393" s="3"/>
      <c r="B1393" s="3"/>
      <c r="C1393" s="79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</row>
    <row r="1394">
      <c r="A1394" s="3"/>
      <c r="B1394" s="3"/>
      <c r="C1394" s="79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</row>
    <row r="1395">
      <c r="A1395" s="3"/>
      <c r="B1395" s="3"/>
      <c r="C1395" s="79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</row>
    <row r="1396">
      <c r="A1396" s="3"/>
      <c r="B1396" s="3"/>
      <c r="C1396" s="79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</row>
    <row r="1397">
      <c r="A1397" s="3"/>
      <c r="B1397" s="3"/>
      <c r="C1397" s="79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</row>
    <row r="1398">
      <c r="A1398" s="3"/>
      <c r="B1398" s="3"/>
      <c r="C1398" s="79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>
      <c r="A1399" s="3"/>
      <c r="B1399" s="3"/>
      <c r="C1399" s="79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</row>
    <row r="1400">
      <c r="A1400" s="3"/>
      <c r="B1400" s="3"/>
      <c r="C1400" s="79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</row>
    <row r="1401">
      <c r="A1401" s="3"/>
      <c r="B1401" s="3"/>
      <c r="C1401" s="79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</row>
    <row r="1402">
      <c r="A1402" s="3"/>
      <c r="B1402" s="3"/>
      <c r="C1402" s="79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</row>
    <row r="1403">
      <c r="A1403" s="3"/>
      <c r="B1403" s="3"/>
      <c r="C1403" s="79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</row>
    <row r="1404">
      <c r="A1404" s="3"/>
      <c r="B1404" s="3"/>
      <c r="C1404" s="79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>
      <c r="A1405" s="3"/>
      <c r="B1405" s="3"/>
      <c r="C1405" s="79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</row>
    <row r="1406">
      <c r="A1406" s="3"/>
      <c r="B1406" s="3"/>
      <c r="C1406" s="79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</row>
    <row r="1407">
      <c r="A1407" s="3"/>
      <c r="B1407" s="3"/>
      <c r="C1407" s="79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</row>
    <row r="1408">
      <c r="A1408" s="3"/>
      <c r="B1408" s="3"/>
      <c r="C1408" s="79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</row>
    <row r="1409">
      <c r="A1409" s="3"/>
      <c r="B1409" s="3"/>
      <c r="C1409" s="79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</row>
    <row r="1410">
      <c r="A1410" s="3"/>
      <c r="B1410" s="3"/>
      <c r="C1410" s="79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</row>
    <row r="1411">
      <c r="A1411" s="3"/>
      <c r="B1411" s="3"/>
      <c r="C1411" s="79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</row>
    <row r="1412">
      <c r="A1412" s="3"/>
      <c r="B1412" s="3"/>
      <c r="C1412" s="79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</row>
    <row r="1413">
      <c r="A1413" s="3"/>
      <c r="B1413" s="3"/>
      <c r="C1413" s="79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</row>
    <row r="1414">
      <c r="A1414" s="3"/>
      <c r="B1414" s="3"/>
      <c r="C1414" s="79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</row>
    <row r="1415">
      <c r="A1415" s="3"/>
      <c r="B1415" s="3"/>
      <c r="C1415" s="79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</row>
    <row r="1416">
      <c r="A1416" s="3"/>
      <c r="B1416" s="3"/>
      <c r="C1416" s="79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>
      <c r="A1417" s="3"/>
      <c r="B1417" s="3"/>
      <c r="C1417" s="79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>
      <c r="A1418" s="3"/>
      <c r="B1418" s="3"/>
      <c r="C1418" s="79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>
      <c r="A1419" s="3"/>
      <c r="B1419" s="3"/>
      <c r="C1419" s="79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</row>
    <row r="1420">
      <c r="A1420" s="3"/>
      <c r="B1420" s="3"/>
      <c r="C1420" s="79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</row>
    <row r="1421">
      <c r="A1421" s="3"/>
      <c r="B1421" s="3"/>
      <c r="C1421" s="79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</row>
    <row r="1422">
      <c r="A1422" s="3"/>
      <c r="B1422" s="3"/>
      <c r="C1422" s="79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</row>
    <row r="1423">
      <c r="A1423" s="3"/>
      <c r="B1423" s="3"/>
      <c r="C1423" s="79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</row>
    <row r="1424">
      <c r="A1424" s="3"/>
      <c r="B1424" s="3"/>
      <c r="C1424" s="79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>
      <c r="A1425" s="3"/>
      <c r="B1425" s="3"/>
      <c r="C1425" s="79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</row>
    <row r="1426">
      <c r="A1426" s="3"/>
      <c r="B1426" s="3"/>
      <c r="C1426" s="79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</row>
    <row r="1427">
      <c r="A1427" s="3"/>
      <c r="B1427" s="3"/>
      <c r="C1427" s="79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</row>
    <row r="1428">
      <c r="A1428" s="3"/>
      <c r="B1428" s="3"/>
      <c r="C1428" s="79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</row>
    <row r="1429">
      <c r="A1429" s="3"/>
      <c r="B1429" s="3"/>
      <c r="C1429" s="79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</row>
    <row r="1430">
      <c r="A1430" s="3"/>
      <c r="B1430" s="3"/>
      <c r="C1430" s="79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</row>
    <row r="1431">
      <c r="A1431" s="3"/>
      <c r="B1431" s="3"/>
      <c r="C1431" s="79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</row>
    <row r="1432">
      <c r="A1432" s="3"/>
      <c r="B1432" s="3"/>
      <c r="C1432" s="79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</row>
    <row r="1433">
      <c r="A1433" s="3"/>
      <c r="B1433" s="3"/>
      <c r="C1433" s="79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</row>
    <row r="1434">
      <c r="A1434" s="3"/>
      <c r="B1434" s="3"/>
      <c r="C1434" s="79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</row>
    <row r="1435">
      <c r="A1435" s="3"/>
      <c r="B1435" s="3"/>
      <c r="C1435" s="79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>
      <c r="A1436" s="3"/>
      <c r="B1436" s="3"/>
      <c r="C1436" s="79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</row>
    <row r="1437">
      <c r="A1437" s="3"/>
      <c r="B1437" s="3"/>
      <c r="C1437" s="79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</row>
    <row r="1438">
      <c r="A1438" s="3"/>
      <c r="B1438" s="3"/>
      <c r="C1438" s="79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</row>
    <row r="1439">
      <c r="A1439" s="3"/>
      <c r="B1439" s="3"/>
      <c r="C1439" s="79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</row>
    <row r="1440">
      <c r="A1440" s="3"/>
      <c r="B1440" s="3"/>
      <c r="C1440" s="79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</row>
    <row r="1441">
      <c r="A1441" s="3"/>
      <c r="B1441" s="3"/>
      <c r="C1441" s="79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>
      <c r="A1442" s="3"/>
      <c r="B1442" s="3"/>
      <c r="C1442" s="79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>
      <c r="A1443" s="3"/>
      <c r="B1443" s="3"/>
      <c r="C1443" s="79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</row>
    <row r="1444">
      <c r="A1444" s="3"/>
      <c r="B1444" s="3"/>
      <c r="C1444" s="79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>
      <c r="A1445" s="3"/>
      <c r="B1445" s="3"/>
      <c r="C1445" s="79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>
      <c r="A1446" s="3"/>
      <c r="B1446" s="3"/>
      <c r="C1446" s="79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</row>
    <row r="1447">
      <c r="A1447" s="3"/>
      <c r="B1447" s="3"/>
      <c r="C1447" s="79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</row>
    <row r="1448">
      <c r="A1448" s="3"/>
      <c r="B1448" s="3"/>
      <c r="C1448" s="79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</row>
    <row r="1449">
      <c r="A1449" s="3"/>
      <c r="B1449" s="3"/>
      <c r="C1449" s="79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</row>
    <row r="1450">
      <c r="A1450" s="3"/>
      <c r="B1450" s="3"/>
      <c r="C1450" s="79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</row>
    <row r="1451">
      <c r="A1451" s="3"/>
      <c r="B1451" s="3"/>
      <c r="C1451" s="79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</row>
    <row r="1452">
      <c r="A1452" s="3"/>
      <c r="B1452" s="3"/>
      <c r="C1452" s="79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>
      <c r="A1453" s="3"/>
      <c r="B1453" s="3"/>
      <c r="C1453" s="79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</row>
    <row r="1454">
      <c r="A1454" s="3"/>
      <c r="B1454" s="3"/>
      <c r="C1454" s="79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</row>
    <row r="1455">
      <c r="A1455" s="3"/>
      <c r="B1455" s="3"/>
      <c r="C1455" s="79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</row>
    <row r="1456">
      <c r="A1456" s="3"/>
      <c r="B1456" s="3"/>
      <c r="C1456" s="79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</row>
    <row r="1457">
      <c r="A1457" s="3"/>
      <c r="B1457" s="3"/>
      <c r="C1457" s="79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</row>
    <row r="1458">
      <c r="A1458" s="3"/>
      <c r="B1458" s="3"/>
      <c r="C1458" s="79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>
      <c r="A1459" s="3"/>
      <c r="B1459" s="3"/>
      <c r="C1459" s="79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</row>
    <row r="1460">
      <c r="A1460" s="3"/>
      <c r="B1460" s="3"/>
      <c r="C1460" s="79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>
      <c r="A1461" s="3"/>
      <c r="B1461" s="3"/>
      <c r="C1461" s="79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</row>
    <row r="1462">
      <c r="A1462" s="3"/>
      <c r="B1462" s="3"/>
      <c r="C1462" s="79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</row>
    <row r="1463">
      <c r="A1463" s="3"/>
      <c r="B1463" s="3"/>
      <c r="C1463" s="79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</row>
    <row r="1464">
      <c r="A1464" s="3"/>
      <c r="B1464" s="3"/>
      <c r="C1464" s="79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</row>
    <row r="1465">
      <c r="A1465" s="3"/>
      <c r="B1465" s="3"/>
      <c r="C1465" s="79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</row>
    <row r="1466">
      <c r="A1466" s="3"/>
      <c r="B1466" s="3"/>
      <c r="C1466" s="79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</row>
    <row r="1467">
      <c r="A1467" s="3"/>
      <c r="B1467" s="3"/>
      <c r="C1467" s="79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</row>
    <row r="1468">
      <c r="A1468" s="3"/>
      <c r="B1468" s="3"/>
      <c r="C1468" s="79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</row>
    <row r="1469">
      <c r="A1469" s="3"/>
      <c r="B1469" s="3"/>
      <c r="C1469" s="79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</row>
    <row r="1470">
      <c r="A1470" s="3"/>
      <c r="B1470" s="3"/>
      <c r="C1470" s="79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</row>
    <row r="1471">
      <c r="A1471" s="3"/>
      <c r="B1471" s="3"/>
      <c r="C1471" s="79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</row>
    <row r="1472">
      <c r="A1472" s="3"/>
      <c r="B1472" s="3"/>
      <c r="C1472" s="79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</row>
    <row r="1473">
      <c r="A1473" s="3"/>
      <c r="B1473" s="3"/>
      <c r="C1473" s="79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</row>
    <row r="1474">
      <c r="A1474" s="3"/>
      <c r="B1474" s="3"/>
      <c r="C1474" s="79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</row>
    <row r="1475">
      <c r="A1475" s="3"/>
      <c r="B1475" s="3"/>
      <c r="C1475" s="79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</row>
    <row r="1476">
      <c r="A1476" s="3"/>
      <c r="B1476" s="3"/>
      <c r="C1476" s="79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</row>
    <row r="1477">
      <c r="A1477" s="3"/>
      <c r="B1477" s="3"/>
      <c r="C1477" s="79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</row>
    <row r="1478">
      <c r="A1478" s="3"/>
      <c r="B1478" s="3"/>
      <c r="C1478" s="79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</row>
    <row r="1479">
      <c r="A1479" s="3"/>
      <c r="B1479" s="3"/>
      <c r="C1479" s="79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</row>
    <row r="1480">
      <c r="A1480" s="3"/>
      <c r="B1480" s="3"/>
      <c r="C1480" s="79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</row>
    <row r="1481">
      <c r="A1481" s="3"/>
      <c r="B1481" s="3"/>
      <c r="C1481" s="79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</row>
    <row r="1482">
      <c r="A1482" s="3"/>
      <c r="B1482" s="3"/>
      <c r="C1482" s="79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</row>
    <row r="1483">
      <c r="A1483" s="3"/>
      <c r="B1483" s="3"/>
      <c r="C1483" s="79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</row>
    <row r="1484">
      <c r="A1484" s="3"/>
      <c r="B1484" s="3"/>
      <c r="C1484" s="79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</row>
    <row r="1485">
      <c r="A1485" s="3"/>
      <c r="B1485" s="3"/>
      <c r="C1485" s="79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</row>
    <row r="1486">
      <c r="A1486" s="3"/>
      <c r="B1486" s="3"/>
      <c r="C1486" s="79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</row>
    <row r="1487">
      <c r="A1487" s="3"/>
      <c r="B1487" s="3"/>
      <c r="C1487" s="79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</row>
    <row r="1488">
      <c r="A1488" s="3"/>
      <c r="B1488" s="3"/>
      <c r="C1488" s="79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</row>
    <row r="1489">
      <c r="A1489" s="3"/>
      <c r="B1489" s="3"/>
      <c r="C1489" s="79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</row>
    <row r="1490">
      <c r="A1490" s="3"/>
      <c r="B1490" s="3"/>
      <c r="C1490" s="79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</row>
    <row r="1491">
      <c r="A1491" s="3"/>
      <c r="B1491" s="3"/>
      <c r="C1491" s="79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</row>
    <row r="1492">
      <c r="A1492" s="3"/>
      <c r="B1492" s="3"/>
      <c r="C1492" s="79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</row>
    <row r="1493">
      <c r="A1493" s="3"/>
      <c r="B1493" s="3"/>
      <c r="C1493" s="79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</row>
    <row r="1494">
      <c r="A1494" s="3"/>
      <c r="B1494" s="3"/>
      <c r="C1494" s="79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</row>
    <row r="1495">
      <c r="A1495" s="3"/>
      <c r="B1495" s="3"/>
      <c r="C1495" s="79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</row>
    <row r="1496">
      <c r="A1496" s="3"/>
      <c r="B1496" s="3"/>
      <c r="C1496" s="79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</row>
    <row r="1497">
      <c r="A1497" s="3"/>
      <c r="B1497" s="3"/>
      <c r="C1497" s="79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</row>
    <row r="1498">
      <c r="A1498" s="3"/>
      <c r="B1498" s="3"/>
      <c r="C1498" s="79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</row>
    <row r="1499">
      <c r="A1499" s="3"/>
      <c r="B1499" s="3"/>
      <c r="C1499" s="79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</row>
    <row r="1500">
      <c r="A1500" s="3"/>
      <c r="B1500" s="3"/>
      <c r="C1500" s="79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</row>
    <row r="1501">
      <c r="A1501" s="3"/>
      <c r="B1501" s="3"/>
      <c r="C1501" s="79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</row>
    <row r="1502">
      <c r="A1502" s="3"/>
      <c r="B1502" s="3"/>
      <c r="C1502" s="79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</row>
    <row r="1503">
      <c r="A1503" s="3"/>
      <c r="B1503" s="3"/>
      <c r="C1503" s="79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</row>
    <row r="1504">
      <c r="A1504" s="3"/>
      <c r="B1504" s="3"/>
      <c r="C1504" s="79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</row>
    <row r="1505">
      <c r="A1505" s="3"/>
      <c r="B1505" s="3"/>
      <c r="C1505" s="79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</row>
    <row r="1506">
      <c r="A1506" s="3"/>
      <c r="B1506" s="3"/>
      <c r="C1506" s="79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</row>
    <row r="1507">
      <c r="A1507" s="3"/>
      <c r="B1507" s="3"/>
      <c r="C1507" s="79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</row>
    <row r="1508">
      <c r="A1508" s="3"/>
      <c r="B1508" s="3"/>
      <c r="C1508" s="79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</row>
    <row r="1509">
      <c r="A1509" s="3"/>
      <c r="B1509" s="3"/>
      <c r="C1509" s="79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</row>
    <row r="1510">
      <c r="A1510" s="3"/>
      <c r="B1510" s="3"/>
      <c r="C1510" s="79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</row>
    <row r="1511">
      <c r="A1511" s="3"/>
      <c r="B1511" s="3"/>
      <c r="C1511" s="79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</row>
    <row r="1512">
      <c r="A1512" s="3"/>
      <c r="B1512" s="3"/>
      <c r="C1512" s="79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</row>
    <row r="1513">
      <c r="A1513" s="3"/>
      <c r="B1513" s="3"/>
      <c r="C1513" s="79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</row>
    <row r="1514">
      <c r="A1514" s="3"/>
      <c r="B1514" s="3"/>
      <c r="C1514" s="79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</row>
    <row r="1515">
      <c r="A1515" s="3"/>
      <c r="B1515" s="3"/>
      <c r="C1515" s="79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</row>
    <row r="1516">
      <c r="A1516" s="3"/>
      <c r="B1516" s="3"/>
      <c r="C1516" s="79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</row>
    <row r="1517">
      <c r="A1517" s="3"/>
      <c r="B1517" s="3"/>
      <c r="C1517" s="79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</row>
    <row r="1518">
      <c r="A1518" s="3"/>
      <c r="B1518" s="3"/>
      <c r="C1518" s="79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</row>
    <row r="1519">
      <c r="A1519" s="3"/>
      <c r="B1519" s="3"/>
      <c r="C1519" s="79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</row>
    <row r="1520">
      <c r="A1520" s="3"/>
      <c r="B1520" s="3"/>
      <c r="C1520" s="79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</row>
    <row r="1521">
      <c r="A1521" s="3"/>
      <c r="B1521" s="3"/>
      <c r="C1521" s="79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</row>
    <row r="1522">
      <c r="A1522" s="3"/>
      <c r="B1522" s="3"/>
      <c r="C1522" s="79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</row>
    <row r="1523">
      <c r="A1523" s="3"/>
      <c r="B1523" s="3"/>
      <c r="C1523" s="79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</row>
    <row r="1524">
      <c r="A1524" s="3"/>
      <c r="B1524" s="3"/>
      <c r="C1524" s="79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</row>
    <row r="1525">
      <c r="A1525" s="3"/>
      <c r="B1525" s="3"/>
      <c r="C1525" s="79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</row>
    <row r="1526">
      <c r="A1526" s="3"/>
      <c r="B1526" s="3"/>
      <c r="C1526" s="79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</row>
    <row r="1527">
      <c r="A1527" s="3"/>
      <c r="B1527" s="3"/>
      <c r="C1527" s="79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</row>
    <row r="1528">
      <c r="A1528" s="3"/>
      <c r="B1528" s="3"/>
      <c r="C1528" s="79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</row>
    <row r="1529">
      <c r="A1529" s="3"/>
      <c r="B1529" s="3"/>
      <c r="C1529" s="79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</row>
    <row r="1530">
      <c r="A1530" s="3"/>
      <c r="B1530" s="3"/>
      <c r="C1530" s="79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</row>
    <row r="1531">
      <c r="A1531" s="3"/>
      <c r="B1531" s="3"/>
      <c r="C1531" s="79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</row>
    <row r="1532">
      <c r="A1532" s="3"/>
      <c r="B1532" s="3"/>
      <c r="C1532" s="79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</row>
    <row r="1533">
      <c r="A1533" s="3"/>
      <c r="B1533" s="3"/>
      <c r="C1533" s="79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</row>
    <row r="1534">
      <c r="A1534" s="3"/>
      <c r="B1534" s="3"/>
      <c r="C1534" s="79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</row>
    <row r="1535">
      <c r="A1535" s="3"/>
      <c r="B1535" s="3"/>
      <c r="C1535" s="79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</row>
    <row r="1536">
      <c r="A1536" s="3"/>
      <c r="B1536" s="3"/>
      <c r="C1536" s="79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</row>
    <row r="1537">
      <c r="A1537" s="3"/>
      <c r="B1537" s="3"/>
      <c r="C1537" s="79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</row>
    <row r="1538">
      <c r="A1538" s="3"/>
      <c r="B1538" s="3"/>
      <c r="C1538" s="79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</row>
    <row r="1539">
      <c r="A1539" s="3"/>
      <c r="B1539" s="3"/>
      <c r="C1539" s="79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</row>
    <row r="1540">
      <c r="A1540" s="3"/>
      <c r="B1540" s="3"/>
      <c r="C1540" s="79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</row>
    <row r="1541">
      <c r="A1541" s="3"/>
      <c r="B1541" s="3"/>
      <c r="C1541" s="79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</row>
    <row r="1542">
      <c r="A1542" s="3"/>
      <c r="B1542" s="3"/>
      <c r="C1542" s="79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</row>
    <row r="1543">
      <c r="A1543" s="3"/>
      <c r="B1543" s="3"/>
      <c r="C1543" s="79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</row>
    <row r="1544">
      <c r="A1544" s="3"/>
      <c r="B1544" s="3"/>
      <c r="C1544" s="79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</row>
    <row r="1545">
      <c r="A1545" s="3"/>
      <c r="B1545" s="3"/>
      <c r="C1545" s="79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</row>
    <row r="1546">
      <c r="A1546" s="3"/>
      <c r="B1546" s="3"/>
      <c r="C1546" s="79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</row>
    <row r="1547">
      <c r="A1547" s="3"/>
      <c r="B1547" s="3"/>
      <c r="C1547" s="79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</row>
    <row r="1548">
      <c r="A1548" s="3"/>
      <c r="B1548" s="3"/>
      <c r="C1548" s="79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</row>
    <row r="1549">
      <c r="A1549" s="3"/>
      <c r="B1549" s="3"/>
      <c r="C1549" s="79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</row>
    <row r="1550">
      <c r="A1550" s="3"/>
      <c r="B1550" s="3"/>
      <c r="C1550" s="79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</row>
    <row r="1551">
      <c r="A1551" s="3"/>
      <c r="B1551" s="3"/>
      <c r="C1551" s="79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</row>
    <row r="1552">
      <c r="A1552" s="3"/>
      <c r="B1552" s="3"/>
      <c r="C1552" s="79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</row>
    <row r="1553">
      <c r="A1553" s="3"/>
      <c r="B1553" s="3"/>
      <c r="C1553" s="79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</row>
    <row r="1554">
      <c r="A1554" s="3"/>
      <c r="B1554" s="3"/>
      <c r="C1554" s="79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</row>
    <row r="1555">
      <c r="A1555" s="3"/>
      <c r="B1555" s="3"/>
      <c r="C1555" s="79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</row>
    <row r="1556">
      <c r="A1556" s="3"/>
      <c r="B1556" s="3"/>
      <c r="C1556" s="79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</row>
    <row r="1557">
      <c r="A1557" s="3"/>
      <c r="B1557" s="3"/>
      <c r="C1557" s="79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</row>
    <row r="1558">
      <c r="A1558" s="3"/>
      <c r="B1558" s="3"/>
      <c r="C1558" s="79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</row>
    <row r="1559">
      <c r="A1559" s="3"/>
      <c r="B1559" s="3"/>
      <c r="C1559" s="79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</row>
    <row r="1560">
      <c r="A1560" s="3"/>
      <c r="B1560" s="3"/>
      <c r="C1560" s="79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</row>
    <row r="1561">
      <c r="A1561" s="3"/>
      <c r="B1561" s="3"/>
      <c r="C1561" s="79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</row>
    <row r="1562">
      <c r="A1562" s="3"/>
      <c r="B1562" s="3"/>
      <c r="C1562" s="79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</row>
    <row r="1563">
      <c r="A1563" s="3"/>
      <c r="B1563" s="3"/>
      <c r="C1563" s="79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</row>
    <row r="1564">
      <c r="A1564" s="3"/>
      <c r="B1564" s="3"/>
      <c r="C1564" s="79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</row>
    <row r="1565">
      <c r="A1565" s="3"/>
      <c r="B1565" s="3"/>
      <c r="C1565" s="79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</row>
    <row r="1566">
      <c r="A1566" s="3"/>
      <c r="B1566" s="3"/>
      <c r="C1566" s="79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</row>
    <row r="1567">
      <c r="A1567" s="3"/>
      <c r="B1567" s="3"/>
      <c r="C1567" s="79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</row>
    <row r="1568">
      <c r="A1568" s="3"/>
      <c r="B1568" s="3"/>
      <c r="C1568" s="79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</row>
    <row r="1569">
      <c r="A1569" s="3"/>
      <c r="B1569" s="3"/>
      <c r="C1569" s="79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</row>
    <row r="1570">
      <c r="A1570" s="3"/>
      <c r="B1570" s="3"/>
      <c r="C1570" s="79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</row>
    <row r="1571">
      <c r="A1571" s="3"/>
      <c r="B1571" s="3"/>
      <c r="C1571" s="79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</row>
    <row r="1572">
      <c r="A1572" s="3"/>
      <c r="B1572" s="3"/>
      <c r="C1572" s="79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</row>
    <row r="1573">
      <c r="A1573" s="3"/>
      <c r="B1573" s="3"/>
      <c r="C1573" s="79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</row>
    <row r="1574">
      <c r="A1574" s="3"/>
      <c r="B1574" s="3"/>
      <c r="C1574" s="79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</row>
    <row r="1575">
      <c r="A1575" s="3"/>
      <c r="B1575" s="3"/>
      <c r="C1575" s="79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</row>
    <row r="1576">
      <c r="A1576" s="3"/>
      <c r="B1576" s="3"/>
      <c r="C1576" s="79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</row>
    <row r="1577">
      <c r="A1577" s="3"/>
      <c r="B1577" s="3"/>
      <c r="C1577" s="79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</row>
    <row r="1578">
      <c r="A1578" s="3"/>
      <c r="B1578" s="3"/>
      <c r="C1578" s="79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</row>
    <row r="1579">
      <c r="A1579" s="3"/>
      <c r="B1579" s="3"/>
      <c r="C1579" s="79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</row>
    <row r="1580">
      <c r="A1580" s="3"/>
      <c r="B1580" s="3"/>
      <c r="C1580" s="79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</row>
    <row r="1581">
      <c r="A1581" s="3"/>
      <c r="B1581" s="3"/>
      <c r="C1581" s="79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</row>
    <row r="1582">
      <c r="A1582" s="3"/>
      <c r="B1582" s="3"/>
      <c r="C1582" s="79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</row>
    <row r="1583">
      <c r="A1583" s="3"/>
      <c r="B1583" s="3"/>
      <c r="C1583" s="79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</row>
    <row r="1584">
      <c r="A1584" s="3"/>
      <c r="B1584" s="3"/>
      <c r="C1584" s="79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</row>
    <row r="1585">
      <c r="A1585" s="3"/>
      <c r="B1585" s="3"/>
      <c r="C1585" s="79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</row>
    <row r="1586">
      <c r="A1586" s="3"/>
      <c r="B1586" s="3"/>
      <c r="C1586" s="79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</row>
    <row r="1587">
      <c r="A1587" s="3"/>
      <c r="B1587" s="3"/>
      <c r="C1587" s="79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</row>
    <row r="1588">
      <c r="A1588" s="3"/>
      <c r="B1588" s="3"/>
      <c r="C1588" s="79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</row>
    <row r="1589">
      <c r="A1589" s="3"/>
      <c r="B1589" s="3"/>
      <c r="C1589" s="79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</row>
    <row r="1590">
      <c r="A1590" s="3"/>
      <c r="B1590" s="3"/>
      <c r="C1590" s="79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</row>
    <row r="1591">
      <c r="A1591" s="3"/>
      <c r="B1591" s="3"/>
      <c r="C1591" s="79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</row>
    <row r="1592">
      <c r="A1592" s="3"/>
      <c r="B1592" s="3"/>
      <c r="C1592" s="79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</row>
    <row r="1593">
      <c r="A1593" s="3"/>
      <c r="B1593" s="3"/>
      <c r="C1593" s="79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</row>
    <row r="1594">
      <c r="A1594" s="3"/>
      <c r="B1594" s="3"/>
      <c r="C1594" s="79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</row>
    <row r="1595">
      <c r="A1595" s="3"/>
      <c r="B1595" s="3"/>
      <c r="C1595" s="79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</row>
    <row r="1596">
      <c r="A1596" s="3"/>
      <c r="B1596" s="3"/>
      <c r="C1596" s="79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</row>
    <row r="1597">
      <c r="A1597" s="3"/>
      <c r="B1597" s="3"/>
      <c r="C1597" s="79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</row>
    <row r="1598">
      <c r="A1598" s="3"/>
      <c r="B1598" s="3"/>
      <c r="C1598" s="79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</row>
    <row r="1599">
      <c r="A1599" s="3"/>
      <c r="B1599" s="3"/>
      <c r="C1599" s="79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</row>
    <row r="1600">
      <c r="A1600" s="3"/>
      <c r="B1600" s="3"/>
      <c r="C1600" s="79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</row>
    <row r="1601">
      <c r="A1601" s="3"/>
      <c r="B1601" s="3"/>
      <c r="C1601" s="79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</row>
    <row r="1602">
      <c r="A1602" s="3"/>
      <c r="B1602" s="3"/>
      <c r="C1602" s="79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</row>
    <row r="1603">
      <c r="A1603" s="3"/>
      <c r="B1603" s="3"/>
      <c r="C1603" s="79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</row>
    <row r="1604">
      <c r="A1604" s="3"/>
      <c r="B1604" s="3"/>
      <c r="C1604" s="79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</row>
    <row r="1605">
      <c r="A1605" s="3"/>
      <c r="B1605" s="3"/>
      <c r="C1605" s="79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</row>
    <row r="1606">
      <c r="A1606" s="3"/>
      <c r="B1606" s="3"/>
      <c r="C1606" s="79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</row>
    <row r="1607">
      <c r="A1607" s="3"/>
      <c r="B1607" s="3"/>
      <c r="C1607" s="79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</row>
    <row r="1608">
      <c r="A1608" s="3"/>
      <c r="B1608" s="3"/>
      <c r="C1608" s="79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</row>
    <row r="1609">
      <c r="A1609" s="3"/>
      <c r="B1609" s="3"/>
      <c r="C1609" s="79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</row>
    <row r="1610">
      <c r="A1610" s="3"/>
      <c r="B1610" s="3"/>
      <c r="C1610" s="79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</row>
    <row r="1611">
      <c r="A1611" s="3"/>
      <c r="B1611" s="3"/>
      <c r="C1611" s="79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</row>
    <row r="1612">
      <c r="A1612" s="3"/>
      <c r="B1612" s="3"/>
      <c r="C1612" s="79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</row>
    <row r="1613">
      <c r="A1613" s="3"/>
      <c r="B1613" s="3"/>
      <c r="C1613" s="79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</row>
    <row r="1614">
      <c r="A1614" s="3"/>
      <c r="B1614" s="3"/>
      <c r="C1614" s="79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</row>
    <row r="1615">
      <c r="A1615" s="3"/>
      <c r="B1615" s="3"/>
      <c r="C1615" s="79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</row>
    <row r="1616">
      <c r="A1616" s="3"/>
      <c r="B1616" s="3"/>
      <c r="C1616" s="79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</row>
    <row r="1617">
      <c r="A1617" s="3"/>
      <c r="B1617" s="3"/>
      <c r="C1617" s="79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</row>
    <row r="1618">
      <c r="A1618" s="3"/>
      <c r="B1618" s="3"/>
      <c r="C1618" s="79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</row>
    <row r="1619">
      <c r="A1619" s="3"/>
      <c r="B1619" s="3"/>
      <c r="C1619" s="79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</row>
    <row r="1620">
      <c r="A1620" s="3"/>
      <c r="B1620" s="3"/>
      <c r="C1620" s="79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</row>
    <row r="1621">
      <c r="A1621" s="3"/>
      <c r="B1621" s="3"/>
      <c r="C1621" s="79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</row>
    <row r="1622">
      <c r="A1622" s="3"/>
      <c r="B1622" s="3"/>
      <c r="C1622" s="79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</row>
    <row r="1623">
      <c r="A1623" s="3"/>
      <c r="B1623" s="3"/>
      <c r="C1623" s="79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</row>
  </sheetData>
  <conditionalFormatting sqref="A9:J56 K9:U9">
    <cfRule type="colorScale" priority="1">
      <colorScale>
        <cfvo type="min"/>
        <cfvo type="max"/>
        <color rgb="FFFFFFFF"/>
        <color rgb="FFFFFFFF"/>
      </colorScale>
    </cfRule>
  </conditionalFormatting>
  <dataValidations>
    <dataValidation type="custom" allowBlank="1" showDropDown="1" sqref="G10:G296">
      <formula1>AND(ISNUMBER(G10),(NOT(OR(NOT(ISERROR(DATEVALUE(G10))), AND(ISNUMBER(G10), LEFT(CELL("format", G10))="D")))))</formula1>
    </dataValidation>
    <dataValidation type="list" allowBlank="1" sqref="B10:B296">
      <formula1>#REF!</formula1>
    </dataValidation>
  </dataValidations>
  <hyperlinks>
    <hyperlink r:id="rId1" ref="C10"/>
    <hyperlink r:id="rId2" ref="C11"/>
    <hyperlink r:id="rId3" ref="C12"/>
    <hyperlink r:id="rId4" ref="C13"/>
    <hyperlink r:id="rId5" ref="C14"/>
    <hyperlink r:id="rId6" ref="C15"/>
    <hyperlink r:id="rId7" ref="C16"/>
    <hyperlink r:id="rId8" ref="C17"/>
    <hyperlink r:id="rId9" ref="C18"/>
    <hyperlink r:id="rId10" ref="C19"/>
    <hyperlink r:id="rId11" ref="C20"/>
    <hyperlink r:id="rId12" ref="C21"/>
    <hyperlink r:id="rId13" ref="C22"/>
    <hyperlink r:id="rId14" ref="C23"/>
    <hyperlink r:id="rId15" ref="C24"/>
    <hyperlink r:id="rId16" ref="C25"/>
    <hyperlink r:id="rId17" ref="C26"/>
    <hyperlink r:id="rId18" ref="C27"/>
    <hyperlink r:id="rId19" ref="C28"/>
    <hyperlink r:id="rId20" ref="C29"/>
    <hyperlink r:id="rId21" ref="C30"/>
    <hyperlink r:id="rId22" ref="C31"/>
    <hyperlink r:id="rId23" ref="C32"/>
    <hyperlink r:id="rId24" ref="C33"/>
    <hyperlink r:id="rId25" ref="C34"/>
    <hyperlink r:id="rId26" ref="C35"/>
    <hyperlink r:id="rId27" ref="C36"/>
    <hyperlink r:id="rId28" ref="C37"/>
    <hyperlink r:id="rId29" ref="C38"/>
    <hyperlink r:id="rId30" ref="C39"/>
    <hyperlink r:id="rId31" ref="C40"/>
    <hyperlink r:id="rId32" ref="C41"/>
    <hyperlink r:id="rId33" ref="C42"/>
    <hyperlink r:id="rId34" ref="C43"/>
    <hyperlink r:id="rId35" ref="C44"/>
    <hyperlink r:id="rId36" ref="C45"/>
    <hyperlink r:id="rId37" ref="C46"/>
    <hyperlink r:id="rId38" ref="C47"/>
    <hyperlink r:id="rId39" ref="C48"/>
    <hyperlink r:id="rId40" ref="C49"/>
    <hyperlink r:id="rId41" ref="C50"/>
    <hyperlink r:id="rId42" ref="C51"/>
    <hyperlink r:id="rId43" ref="C52"/>
    <hyperlink r:id="rId44" ref="C53"/>
    <hyperlink r:id="rId45" ref="C54"/>
    <hyperlink r:id="rId46" ref="C57"/>
    <hyperlink r:id="rId47" ref="C58"/>
    <hyperlink r:id="rId48" ref="C59"/>
    <hyperlink r:id="rId49" ref="C60"/>
  </hyperlinks>
  <drawing r:id="rId50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31.44"/>
    <col customWidth="1" min="2" max="2" width="65.22"/>
    <col customWidth="1" min="3" max="3" width="10.67"/>
    <col customWidth="1" min="4" max="4" width="17.44"/>
    <col customWidth="1" min="5" max="5" width="29.11"/>
    <col customWidth="1" min="6" max="6" width="10.78"/>
    <col customWidth="1" min="7" max="7" width="10.33"/>
    <col customWidth="1" min="8" max="8" width="19.11"/>
    <col customWidth="1" min="9" max="9" width="32.44"/>
  </cols>
  <sheetData>
    <row r="1" ht="22.5" customHeight="1">
      <c r="A1" s="80" t="s">
        <v>89</v>
      </c>
      <c r="B1" s="80" t="s">
        <v>4</v>
      </c>
      <c r="C1" s="80" t="s">
        <v>90</v>
      </c>
      <c r="D1" s="80" t="s">
        <v>91</v>
      </c>
      <c r="E1" s="80" t="s">
        <v>92</v>
      </c>
      <c r="F1" s="80" t="s">
        <v>2</v>
      </c>
      <c r="G1" s="81" t="s">
        <v>93</v>
      </c>
      <c r="H1" s="80" t="s">
        <v>94</v>
      </c>
      <c r="I1" s="82" t="s">
        <v>95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2.5" customHeight="1">
      <c r="A2" s="16" t="s">
        <v>96</v>
      </c>
      <c r="B2" s="83" t="s">
        <v>97</v>
      </c>
      <c r="C2" s="16"/>
      <c r="D2" s="16"/>
      <c r="E2" s="84" t="s">
        <v>70</v>
      </c>
      <c r="F2" s="75" t="s">
        <v>12</v>
      </c>
      <c r="G2" s="85" t="s">
        <v>98</v>
      </c>
      <c r="H2" s="16"/>
      <c r="I2" s="86"/>
      <c r="J2" s="8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22.5" customHeight="1">
      <c r="A3" s="16" t="s">
        <v>99</v>
      </c>
      <c r="B3" s="83" t="s">
        <v>100</v>
      </c>
      <c r="C3" s="16"/>
      <c r="D3" s="16"/>
      <c r="E3" s="84" t="s">
        <v>70</v>
      </c>
      <c r="F3" s="75" t="s">
        <v>12</v>
      </c>
      <c r="G3" s="85" t="s">
        <v>98</v>
      </c>
      <c r="H3" s="16"/>
      <c r="I3" s="16"/>
      <c r="J3" s="8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22.5" customHeight="1">
      <c r="A4" s="16" t="s">
        <v>101</v>
      </c>
      <c r="B4" s="83" t="s">
        <v>102</v>
      </c>
      <c r="C4" s="16"/>
      <c r="D4" s="16"/>
      <c r="E4" s="84" t="s">
        <v>103</v>
      </c>
      <c r="F4" s="75" t="s">
        <v>12</v>
      </c>
      <c r="G4" s="85" t="s">
        <v>98</v>
      </c>
      <c r="H4" s="16"/>
      <c r="I4" s="16"/>
      <c r="J4" s="8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22.5" customHeight="1">
      <c r="A5" s="16" t="s">
        <v>104</v>
      </c>
      <c r="B5" s="83" t="s">
        <v>105</v>
      </c>
      <c r="C5" s="16"/>
      <c r="D5" s="16"/>
      <c r="E5" s="84" t="s">
        <v>70</v>
      </c>
      <c r="F5" s="75" t="s">
        <v>12</v>
      </c>
      <c r="G5" s="85" t="s">
        <v>98</v>
      </c>
      <c r="H5" s="10" t="s">
        <v>106</v>
      </c>
      <c r="I5" s="16"/>
      <c r="J5" s="8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22.5" customHeight="1">
      <c r="A6" s="16" t="s">
        <v>107</v>
      </c>
      <c r="B6" s="89" t="s">
        <v>108</v>
      </c>
      <c r="C6" s="16"/>
      <c r="D6" s="16"/>
      <c r="E6" s="84" t="s">
        <v>70</v>
      </c>
      <c r="F6" s="75" t="s">
        <v>12</v>
      </c>
      <c r="G6" s="90"/>
      <c r="H6" s="10" t="s">
        <v>109</v>
      </c>
      <c r="I6" s="16"/>
      <c r="J6" s="8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22.5" customHeight="1">
      <c r="A7" s="16" t="s">
        <v>110</v>
      </c>
      <c r="B7" s="83" t="s">
        <v>111</v>
      </c>
      <c r="C7" s="16">
        <v>2.0</v>
      </c>
      <c r="D7" s="16" t="str">
        <f>REPT("★",C7) &amp; REPT("☆",5-C7)</f>
        <v>★★☆☆☆</v>
      </c>
      <c r="E7" s="84"/>
      <c r="F7" s="75" t="s">
        <v>12</v>
      </c>
      <c r="G7" s="85" t="s">
        <v>98</v>
      </c>
      <c r="H7" s="16"/>
      <c r="I7" s="16"/>
      <c r="J7" s="8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22.5" customHeight="1">
      <c r="A8" s="16" t="s">
        <v>112</v>
      </c>
      <c r="B8" s="83" t="s">
        <v>113</v>
      </c>
      <c r="C8" s="16"/>
      <c r="D8" s="16"/>
      <c r="E8" s="84"/>
      <c r="F8" s="75" t="s">
        <v>12</v>
      </c>
      <c r="G8" s="90" t="s">
        <v>114</v>
      </c>
      <c r="H8" s="16"/>
      <c r="I8" s="16"/>
      <c r="J8" s="87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22.5" customHeight="1">
      <c r="A9" s="16" t="s">
        <v>13</v>
      </c>
      <c r="B9" s="83" t="s">
        <v>115</v>
      </c>
      <c r="C9" s="16">
        <v>4.0</v>
      </c>
      <c r="D9" s="16" t="str">
        <f t="shared" ref="D9:D11" si="1">REPT("★",C9) &amp; REPT("☆",5-C9)</f>
        <v>★★★★☆</v>
      </c>
      <c r="E9" s="84"/>
      <c r="F9" s="75" t="s">
        <v>12</v>
      </c>
      <c r="G9" s="85" t="s">
        <v>98</v>
      </c>
      <c r="H9" s="16" t="s">
        <v>116</v>
      </c>
      <c r="I9" s="16"/>
      <c r="J9" s="8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22.5" customHeight="1">
      <c r="A10" s="16" t="s">
        <v>117</v>
      </c>
      <c r="B10" s="83" t="s">
        <v>118</v>
      </c>
      <c r="C10" s="16">
        <v>3.0</v>
      </c>
      <c r="D10" s="16" t="str">
        <f t="shared" si="1"/>
        <v>★★★☆☆</v>
      </c>
      <c r="E10" s="84"/>
      <c r="F10" s="75" t="s">
        <v>12</v>
      </c>
      <c r="G10" s="85" t="s">
        <v>98</v>
      </c>
      <c r="H10" s="16" t="s">
        <v>119</v>
      </c>
      <c r="I10" s="16"/>
      <c r="J10" s="8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22.5" customHeight="1">
      <c r="A11" s="16" t="s">
        <v>120</v>
      </c>
      <c r="B11" s="83" t="s">
        <v>121</v>
      </c>
      <c r="C11" s="16">
        <v>3.0</v>
      </c>
      <c r="D11" s="16" t="str">
        <f t="shared" si="1"/>
        <v>★★★☆☆</v>
      </c>
      <c r="E11" s="84" t="s">
        <v>27</v>
      </c>
      <c r="F11" s="75" t="s">
        <v>12</v>
      </c>
      <c r="G11" s="85" t="s">
        <v>98</v>
      </c>
      <c r="H11" s="16" t="s">
        <v>122</v>
      </c>
      <c r="I11" s="16"/>
      <c r="J11" s="8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22.5" customHeight="1">
      <c r="A12" s="16" t="s">
        <v>123</v>
      </c>
      <c r="B12" s="83" t="s">
        <v>124</v>
      </c>
      <c r="C12" s="16"/>
      <c r="D12" s="16"/>
      <c r="E12" s="84" t="s">
        <v>70</v>
      </c>
      <c r="F12" s="75" t="s">
        <v>12</v>
      </c>
      <c r="G12" s="90"/>
      <c r="H12" s="16"/>
      <c r="I12" s="16"/>
      <c r="J12" s="87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22.5" customHeight="1">
      <c r="A13" s="16" t="s">
        <v>16</v>
      </c>
      <c r="B13" s="83" t="s">
        <v>125</v>
      </c>
      <c r="C13" s="16"/>
      <c r="D13" s="16"/>
      <c r="E13" s="84" t="s">
        <v>18</v>
      </c>
      <c r="F13" s="75" t="s">
        <v>12</v>
      </c>
      <c r="G13" s="85" t="s">
        <v>98</v>
      </c>
      <c r="H13" s="16"/>
      <c r="I13" s="16"/>
      <c r="J13" s="8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22.5" customHeight="1">
      <c r="A14" s="16" t="s">
        <v>16</v>
      </c>
      <c r="B14" s="83" t="s">
        <v>126</v>
      </c>
      <c r="C14" s="16"/>
      <c r="D14" s="16"/>
      <c r="E14" s="84" t="s">
        <v>127</v>
      </c>
      <c r="F14" s="75" t="s">
        <v>12</v>
      </c>
      <c r="G14" s="85" t="s">
        <v>98</v>
      </c>
      <c r="H14" s="16"/>
      <c r="I14" s="16"/>
      <c r="J14" s="8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22.5" customHeight="1">
      <c r="A15" s="16" t="s">
        <v>19</v>
      </c>
      <c r="B15" s="83" t="s">
        <v>128</v>
      </c>
      <c r="C15" s="16">
        <v>4.0</v>
      </c>
      <c r="D15" s="16" t="str">
        <f>REPT("★",C15) &amp; REPT("☆",5-C15)</f>
        <v>★★★★☆</v>
      </c>
      <c r="E15" s="84"/>
      <c r="F15" s="75" t="s">
        <v>12</v>
      </c>
      <c r="G15" s="85" t="s">
        <v>98</v>
      </c>
      <c r="H15" s="16"/>
      <c r="I15" s="16"/>
      <c r="J15" s="8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22.5" customHeight="1">
      <c r="A16" s="16" t="s">
        <v>129</v>
      </c>
      <c r="B16" s="83" t="s">
        <v>130</v>
      </c>
      <c r="C16" s="16"/>
      <c r="D16" s="16"/>
      <c r="E16" s="84" t="s">
        <v>70</v>
      </c>
      <c r="F16" s="75" t="s">
        <v>12</v>
      </c>
      <c r="G16" s="85" t="s">
        <v>98</v>
      </c>
      <c r="H16" s="16"/>
      <c r="I16" s="91"/>
      <c r="J16" s="8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22.5" customHeight="1">
      <c r="A17" s="16" t="s">
        <v>20</v>
      </c>
      <c r="B17" s="83" t="s">
        <v>131</v>
      </c>
      <c r="C17" s="16">
        <v>3.0</v>
      </c>
      <c r="D17" s="16" t="str">
        <f t="shared" ref="D17:D21" si="2">REPT("★",C17) &amp; REPT("☆",5-C17)</f>
        <v>★★★☆☆</v>
      </c>
      <c r="E17" s="84"/>
      <c r="F17" s="75" t="s">
        <v>12</v>
      </c>
      <c r="G17" s="85" t="s">
        <v>98</v>
      </c>
      <c r="H17" s="16" t="s">
        <v>132</v>
      </c>
      <c r="I17" s="16"/>
      <c r="J17" s="8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ht="22.5" customHeight="1">
      <c r="A18" s="16" t="s">
        <v>133</v>
      </c>
      <c r="B18" s="83" t="s">
        <v>134</v>
      </c>
      <c r="C18" s="16">
        <v>3.0</v>
      </c>
      <c r="D18" s="16" t="str">
        <f t="shared" si="2"/>
        <v>★★★☆☆</v>
      </c>
      <c r="E18" s="84"/>
      <c r="F18" s="75" t="s">
        <v>12</v>
      </c>
      <c r="G18" s="85" t="s">
        <v>98</v>
      </c>
      <c r="H18" s="16"/>
      <c r="I18" s="16"/>
      <c r="J18" s="87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22.5" customHeight="1">
      <c r="A19" s="16" t="s">
        <v>24</v>
      </c>
      <c r="B19" s="83" t="s">
        <v>135</v>
      </c>
      <c r="C19" s="16">
        <v>3.0</v>
      </c>
      <c r="D19" s="16" t="str">
        <f t="shared" si="2"/>
        <v>★★★☆☆</v>
      </c>
      <c r="E19" s="84"/>
      <c r="F19" s="75" t="s">
        <v>12</v>
      </c>
      <c r="G19" s="85" t="s">
        <v>98</v>
      </c>
      <c r="H19" s="16" t="s">
        <v>136</v>
      </c>
      <c r="I19" s="16"/>
      <c r="J19" s="8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22.5" customHeight="1">
      <c r="A20" s="16" t="s">
        <v>24</v>
      </c>
      <c r="B20" s="83" t="s">
        <v>137</v>
      </c>
      <c r="C20" s="16">
        <v>3.0</v>
      </c>
      <c r="D20" s="16" t="str">
        <f t="shared" si="2"/>
        <v>★★★☆☆</v>
      </c>
      <c r="E20" s="84"/>
      <c r="F20" s="75" t="s">
        <v>12</v>
      </c>
      <c r="G20" s="85" t="s">
        <v>98</v>
      </c>
      <c r="H20" s="16" t="s">
        <v>136</v>
      </c>
      <c r="I20" s="16"/>
      <c r="J20" s="8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22.5" customHeight="1">
      <c r="A21" s="16" t="s">
        <v>25</v>
      </c>
      <c r="B21" s="83" t="s">
        <v>138</v>
      </c>
      <c r="C21" s="16">
        <v>3.0</v>
      </c>
      <c r="D21" s="16" t="str">
        <f t="shared" si="2"/>
        <v>★★★☆☆</v>
      </c>
      <c r="E21" s="84" t="s">
        <v>27</v>
      </c>
      <c r="F21" s="75" t="s">
        <v>12</v>
      </c>
      <c r="G21" s="85" t="s">
        <v>98</v>
      </c>
      <c r="H21" s="16" t="s">
        <v>139</v>
      </c>
      <c r="I21" s="16"/>
      <c r="J21" s="8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22.5" customHeight="1">
      <c r="A22" s="16" t="s">
        <v>140</v>
      </c>
      <c r="B22" s="83" t="s">
        <v>141</v>
      </c>
      <c r="C22" s="16"/>
      <c r="D22" s="16"/>
      <c r="E22" s="84"/>
      <c r="F22" s="75" t="s">
        <v>12</v>
      </c>
      <c r="G22" s="85" t="s">
        <v>98</v>
      </c>
      <c r="H22" s="16" t="s">
        <v>142</v>
      </c>
      <c r="I22" s="16"/>
      <c r="J22" s="8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22.5" customHeight="1">
      <c r="A23" s="16" t="s">
        <v>143</v>
      </c>
      <c r="B23" s="83" t="s">
        <v>144</v>
      </c>
      <c r="C23" s="16">
        <v>4.0</v>
      </c>
      <c r="D23" s="16" t="str">
        <f>REPT("★",C23) &amp; REPT("☆",5-C23)</f>
        <v>★★★★☆</v>
      </c>
      <c r="E23" s="84"/>
      <c r="F23" s="75" t="s">
        <v>12</v>
      </c>
      <c r="G23" s="85" t="s">
        <v>98</v>
      </c>
      <c r="H23" s="16"/>
      <c r="I23" s="16"/>
      <c r="J23" s="8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22.5" customHeight="1">
      <c r="A24" s="16" t="s">
        <v>145</v>
      </c>
      <c r="B24" s="83" t="s">
        <v>146</v>
      </c>
      <c r="C24" s="16"/>
      <c r="D24" s="16"/>
      <c r="E24" s="84" t="s">
        <v>70</v>
      </c>
      <c r="F24" s="75" t="s">
        <v>12</v>
      </c>
      <c r="G24" s="85" t="s">
        <v>98</v>
      </c>
      <c r="H24" s="16"/>
      <c r="I24" s="16"/>
      <c r="J24" s="8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22.5" customHeight="1">
      <c r="A25" s="16" t="s">
        <v>147</v>
      </c>
      <c r="B25" s="83" t="s">
        <v>148</v>
      </c>
      <c r="C25" s="16"/>
      <c r="D25" s="16"/>
      <c r="E25" s="84" t="s">
        <v>70</v>
      </c>
      <c r="F25" s="75" t="s">
        <v>12</v>
      </c>
      <c r="G25" s="85" t="s">
        <v>98</v>
      </c>
      <c r="H25" s="16"/>
      <c r="I25" s="16"/>
      <c r="J25" s="8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22.5" customHeight="1">
      <c r="A26" s="16" t="s">
        <v>28</v>
      </c>
      <c r="B26" s="83" t="s">
        <v>149</v>
      </c>
      <c r="C26" s="16">
        <v>4.0</v>
      </c>
      <c r="D26" s="16" t="str">
        <f t="shared" ref="D26:D31" si="3">REPT("★",C26) &amp; REPT("☆",5-C26)</f>
        <v>★★★★☆</v>
      </c>
      <c r="E26" s="84" t="s">
        <v>27</v>
      </c>
      <c r="F26" s="75" t="s">
        <v>12</v>
      </c>
      <c r="G26" s="85" t="s">
        <v>98</v>
      </c>
      <c r="H26" s="16" t="s">
        <v>122</v>
      </c>
      <c r="I26" s="28"/>
      <c r="J26" s="87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22.5" customHeight="1">
      <c r="A27" s="16" t="s">
        <v>87</v>
      </c>
      <c r="B27" s="83" t="s">
        <v>150</v>
      </c>
      <c r="C27" s="16">
        <v>4.0</v>
      </c>
      <c r="D27" s="16" t="str">
        <f t="shared" si="3"/>
        <v>★★★★☆</v>
      </c>
      <c r="E27" s="84" t="s">
        <v>27</v>
      </c>
      <c r="F27" s="75" t="s">
        <v>12</v>
      </c>
      <c r="G27" s="85" t="s">
        <v>98</v>
      </c>
      <c r="H27" s="16" t="s">
        <v>151</v>
      </c>
      <c r="I27" s="16"/>
      <c r="J27" s="8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22.5" customHeight="1">
      <c r="A28" s="16" t="s">
        <v>29</v>
      </c>
      <c r="B28" s="83" t="s">
        <v>152</v>
      </c>
      <c r="C28" s="16">
        <v>4.0</v>
      </c>
      <c r="D28" s="16" t="str">
        <f t="shared" si="3"/>
        <v>★★★★☆</v>
      </c>
      <c r="E28" s="84" t="s">
        <v>30</v>
      </c>
      <c r="F28" s="75" t="s">
        <v>12</v>
      </c>
      <c r="G28" s="85" t="s">
        <v>98</v>
      </c>
      <c r="H28" s="16"/>
      <c r="I28" s="16"/>
      <c r="J28" s="8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22.5" customHeight="1">
      <c r="A29" s="16" t="s">
        <v>153</v>
      </c>
      <c r="B29" s="83" t="s">
        <v>154</v>
      </c>
      <c r="C29" s="16">
        <v>2.0</v>
      </c>
      <c r="D29" s="16" t="str">
        <f t="shared" si="3"/>
        <v>★★☆☆☆</v>
      </c>
      <c r="E29" s="84"/>
      <c r="F29" s="75" t="s">
        <v>12</v>
      </c>
      <c r="G29" s="85" t="s">
        <v>98</v>
      </c>
      <c r="H29" s="16"/>
      <c r="I29" s="16"/>
      <c r="J29" s="8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22.5" customHeight="1">
      <c r="A30" s="16" t="s">
        <v>155</v>
      </c>
      <c r="B30" s="83" t="s">
        <v>156</v>
      </c>
      <c r="C30" s="16">
        <v>3.0</v>
      </c>
      <c r="D30" s="16" t="str">
        <f t="shared" si="3"/>
        <v>★★★☆☆</v>
      </c>
      <c r="E30" s="84"/>
      <c r="F30" s="75" t="s">
        <v>12</v>
      </c>
      <c r="G30" s="85" t="s">
        <v>98</v>
      </c>
      <c r="H30" s="16" t="s">
        <v>157</v>
      </c>
      <c r="I30" s="16"/>
      <c r="J30" s="87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22.5" customHeight="1">
      <c r="A31" s="16" t="s">
        <v>31</v>
      </c>
      <c r="B31" s="83" t="s">
        <v>158</v>
      </c>
      <c r="C31" s="16">
        <v>4.0</v>
      </c>
      <c r="D31" s="16" t="str">
        <f t="shared" si="3"/>
        <v>★★★★☆</v>
      </c>
      <c r="E31" s="84" t="s">
        <v>27</v>
      </c>
      <c r="F31" s="75" t="s">
        <v>12</v>
      </c>
      <c r="G31" s="85" t="s">
        <v>98</v>
      </c>
      <c r="H31" s="16" t="s">
        <v>139</v>
      </c>
      <c r="I31" s="16"/>
      <c r="J31" s="8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22.5" customHeight="1">
      <c r="A32" s="16" t="s">
        <v>159</v>
      </c>
      <c r="B32" s="83" t="s">
        <v>160</v>
      </c>
      <c r="C32" s="16"/>
      <c r="D32" s="16"/>
      <c r="E32" s="84" t="s">
        <v>70</v>
      </c>
      <c r="F32" s="75" t="s">
        <v>12</v>
      </c>
      <c r="G32" s="85" t="s">
        <v>98</v>
      </c>
      <c r="H32" s="16"/>
      <c r="I32" s="16"/>
      <c r="J32" s="8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22.5" customHeight="1">
      <c r="A33" s="16" t="s">
        <v>33</v>
      </c>
      <c r="B33" s="83" t="s">
        <v>161</v>
      </c>
      <c r="C33" s="16">
        <v>5.0</v>
      </c>
      <c r="D33" s="16" t="str">
        <f t="shared" ref="D33:D39" si="4">REPT("★",C33) &amp; REPT("☆",5-C33)</f>
        <v>★★★★★</v>
      </c>
      <c r="E33" s="84" t="s">
        <v>35</v>
      </c>
      <c r="F33" s="75" t="s">
        <v>12</v>
      </c>
      <c r="G33" s="85" t="s">
        <v>98</v>
      </c>
      <c r="H33" s="16"/>
      <c r="I33" s="16"/>
      <c r="J33" s="8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22.5" customHeight="1">
      <c r="A34" s="16" t="s">
        <v>36</v>
      </c>
      <c r="B34" s="83" t="s">
        <v>162</v>
      </c>
      <c r="C34" s="16">
        <v>4.0</v>
      </c>
      <c r="D34" s="16" t="str">
        <f t="shared" si="4"/>
        <v>★★★★☆</v>
      </c>
      <c r="E34" s="84" t="s">
        <v>38</v>
      </c>
      <c r="F34" s="75" t="s">
        <v>12</v>
      </c>
      <c r="G34" s="85" t="s">
        <v>98</v>
      </c>
      <c r="H34" s="16" t="s">
        <v>163</v>
      </c>
      <c r="I34" s="1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22.5" customHeight="1">
      <c r="A35" s="16" t="s">
        <v>39</v>
      </c>
      <c r="B35" s="83" t="s">
        <v>164</v>
      </c>
      <c r="C35" s="16">
        <v>4.0</v>
      </c>
      <c r="D35" s="16" t="str">
        <f t="shared" si="4"/>
        <v>★★★★☆</v>
      </c>
      <c r="E35" s="84" t="s">
        <v>27</v>
      </c>
      <c r="F35" s="75" t="s">
        <v>12</v>
      </c>
      <c r="G35" s="85" t="s">
        <v>98</v>
      </c>
      <c r="H35" s="16" t="s">
        <v>67</v>
      </c>
      <c r="I35" s="1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22.5" customHeight="1">
      <c r="A36" s="16" t="s">
        <v>165</v>
      </c>
      <c r="B36" s="83" t="s">
        <v>166</v>
      </c>
      <c r="C36" s="16">
        <v>3.0</v>
      </c>
      <c r="D36" s="16" t="str">
        <f t="shared" si="4"/>
        <v>★★★☆☆</v>
      </c>
      <c r="E36" s="84"/>
      <c r="F36" s="75" t="s">
        <v>12</v>
      </c>
      <c r="G36" s="85" t="s">
        <v>98</v>
      </c>
      <c r="H36" s="16"/>
      <c r="I36" s="1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22.5" customHeight="1">
      <c r="A37" s="16" t="s">
        <v>41</v>
      </c>
      <c r="B37" s="83" t="s">
        <v>167</v>
      </c>
      <c r="C37" s="16">
        <v>3.0</v>
      </c>
      <c r="D37" s="16" t="str">
        <f t="shared" si="4"/>
        <v>★★★☆☆</v>
      </c>
      <c r="E37" s="84"/>
      <c r="F37" s="75" t="s">
        <v>12</v>
      </c>
      <c r="G37" s="85" t="s">
        <v>98</v>
      </c>
      <c r="H37" s="16" t="s">
        <v>168</v>
      </c>
      <c r="I37" s="1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22.5" customHeight="1">
      <c r="A38" s="16" t="s">
        <v>169</v>
      </c>
      <c r="B38" s="83" t="s">
        <v>170</v>
      </c>
      <c r="C38" s="16">
        <v>3.0</v>
      </c>
      <c r="D38" s="16" t="str">
        <f t="shared" si="4"/>
        <v>★★★☆☆</v>
      </c>
      <c r="E38" s="84"/>
      <c r="F38" s="75" t="s">
        <v>12</v>
      </c>
      <c r="G38" s="85" t="s">
        <v>98</v>
      </c>
      <c r="H38" s="16"/>
      <c r="I38" s="1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22.5" customHeight="1">
      <c r="A39" s="16" t="s">
        <v>42</v>
      </c>
      <c r="B39" s="83" t="s">
        <v>171</v>
      </c>
      <c r="C39" s="16">
        <v>4.0</v>
      </c>
      <c r="D39" s="16" t="str">
        <f t="shared" si="4"/>
        <v>★★★★☆</v>
      </c>
      <c r="E39" s="84" t="s">
        <v>43</v>
      </c>
      <c r="F39" s="75" t="s">
        <v>12</v>
      </c>
      <c r="G39" s="85" t="s">
        <v>98</v>
      </c>
      <c r="H39" s="16" t="s">
        <v>172</v>
      </c>
      <c r="I39" s="1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22.5" customHeight="1">
      <c r="A40" s="16" t="s">
        <v>173</v>
      </c>
      <c r="B40" s="16" t="s">
        <v>174</v>
      </c>
      <c r="C40" s="16"/>
      <c r="D40" s="16"/>
      <c r="E40" s="84"/>
      <c r="F40" s="75" t="s">
        <v>12</v>
      </c>
      <c r="G40" s="85" t="s">
        <v>98</v>
      </c>
      <c r="H40" s="16" t="s">
        <v>175</v>
      </c>
      <c r="I40" s="1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22.5" customHeight="1">
      <c r="A41" s="16" t="s">
        <v>176</v>
      </c>
      <c r="B41" s="83" t="s">
        <v>177</v>
      </c>
      <c r="C41" s="16">
        <v>3.0</v>
      </c>
      <c r="D41" s="16" t="str">
        <f t="shared" ref="D41:D42" si="5">REPT("★",C41) &amp; REPT("☆",5-C41)</f>
        <v>★★★☆☆</v>
      </c>
      <c r="E41" s="84" t="s">
        <v>27</v>
      </c>
      <c r="F41" s="75" t="s">
        <v>12</v>
      </c>
      <c r="G41" s="85" t="s">
        <v>98</v>
      </c>
      <c r="H41" s="16"/>
      <c r="I41" s="1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22.5" customHeight="1">
      <c r="A42" s="16" t="s">
        <v>83</v>
      </c>
      <c r="B42" s="83" t="s">
        <v>178</v>
      </c>
      <c r="C42" s="16">
        <v>5.0</v>
      </c>
      <c r="D42" s="16" t="str">
        <f t="shared" si="5"/>
        <v>★★★★★</v>
      </c>
      <c r="E42" s="84"/>
      <c r="F42" s="75" t="s">
        <v>12</v>
      </c>
      <c r="G42" s="85" t="s">
        <v>98</v>
      </c>
      <c r="H42" s="16"/>
      <c r="I42" s="1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22.5" customHeight="1">
      <c r="A43" s="16" t="s">
        <v>179</v>
      </c>
      <c r="B43" s="83" t="s">
        <v>180</v>
      </c>
      <c r="C43" s="16"/>
      <c r="D43" s="16"/>
      <c r="E43" s="84" t="s">
        <v>70</v>
      </c>
      <c r="F43" s="75" t="s">
        <v>12</v>
      </c>
      <c r="G43" s="90"/>
      <c r="H43" s="16"/>
      <c r="I43" s="1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22.5" customHeight="1">
      <c r="A44" s="16" t="s">
        <v>44</v>
      </c>
      <c r="B44" s="83" t="s">
        <v>181</v>
      </c>
      <c r="C44" s="16">
        <v>4.0</v>
      </c>
      <c r="D44" s="16" t="str">
        <f>REPT("★",C44) &amp; REPT("☆",5-C44)</f>
        <v>★★★★☆</v>
      </c>
      <c r="E44" s="84" t="s">
        <v>27</v>
      </c>
      <c r="F44" s="75" t="s">
        <v>12</v>
      </c>
      <c r="G44" s="85" t="s">
        <v>98</v>
      </c>
      <c r="H44" s="16" t="s">
        <v>122</v>
      </c>
      <c r="I44" s="1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22.5" customHeight="1">
      <c r="A45" s="16" t="s">
        <v>182</v>
      </c>
      <c r="B45" s="83" t="s">
        <v>183</v>
      </c>
      <c r="C45" s="16"/>
      <c r="D45" s="16"/>
      <c r="E45" s="84" t="s">
        <v>70</v>
      </c>
      <c r="F45" s="75" t="s">
        <v>12</v>
      </c>
      <c r="G45" s="90"/>
      <c r="H45" s="16"/>
      <c r="I45" s="1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22.5" customHeight="1">
      <c r="A46" s="16" t="s">
        <v>184</v>
      </c>
      <c r="B46" s="83" t="s">
        <v>185</v>
      </c>
      <c r="C46" s="16"/>
      <c r="D46" s="16"/>
      <c r="E46" s="84"/>
      <c r="F46" s="75" t="s">
        <v>12</v>
      </c>
      <c r="G46" s="90" t="s">
        <v>114</v>
      </c>
      <c r="H46" s="16"/>
      <c r="I46" s="1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22.5" customHeight="1">
      <c r="A47" s="16" t="s">
        <v>45</v>
      </c>
      <c r="B47" s="83" t="s">
        <v>186</v>
      </c>
      <c r="C47" s="16">
        <v>4.0</v>
      </c>
      <c r="D47" s="16" t="str">
        <f t="shared" ref="D47:D49" si="6">REPT("★",C47) &amp; REPT("☆",5-C47)</f>
        <v>★★★★☆</v>
      </c>
      <c r="E47" s="84" t="s">
        <v>27</v>
      </c>
      <c r="F47" s="75" t="s">
        <v>12</v>
      </c>
      <c r="G47" s="85" t="s">
        <v>98</v>
      </c>
      <c r="H47" s="16"/>
      <c r="I47" s="1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22.5" customHeight="1">
      <c r="A48" s="16" t="s">
        <v>46</v>
      </c>
      <c r="B48" s="83" t="s">
        <v>187</v>
      </c>
      <c r="C48" s="16">
        <v>3.0</v>
      </c>
      <c r="D48" s="16" t="str">
        <f t="shared" si="6"/>
        <v>★★★☆☆</v>
      </c>
      <c r="E48" s="84"/>
      <c r="F48" s="75" t="s">
        <v>12</v>
      </c>
      <c r="G48" s="85" t="s">
        <v>98</v>
      </c>
      <c r="H48" s="16" t="s">
        <v>188</v>
      </c>
      <c r="I48" s="1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22.5" customHeight="1">
      <c r="A49" s="16" t="s">
        <v>189</v>
      </c>
      <c r="B49" s="83" t="s">
        <v>190</v>
      </c>
      <c r="C49" s="16">
        <v>3.0</v>
      </c>
      <c r="D49" s="16" t="str">
        <f t="shared" si="6"/>
        <v>★★★☆☆</v>
      </c>
      <c r="E49" s="84" t="s">
        <v>27</v>
      </c>
      <c r="F49" s="75" t="s">
        <v>12</v>
      </c>
      <c r="G49" s="85" t="s">
        <v>98</v>
      </c>
      <c r="H49" s="16" t="s">
        <v>139</v>
      </c>
      <c r="I49" s="1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22.5" customHeight="1">
      <c r="A50" s="16" t="s">
        <v>191</v>
      </c>
      <c r="B50" s="83" t="s">
        <v>192</v>
      </c>
      <c r="C50" s="16"/>
      <c r="D50" s="16"/>
      <c r="E50" s="84"/>
      <c r="F50" s="75" t="s">
        <v>12</v>
      </c>
      <c r="G50" s="90" t="s">
        <v>114</v>
      </c>
      <c r="H50" s="16"/>
      <c r="I50" s="1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22.5" customHeight="1">
      <c r="A51" s="16" t="s">
        <v>47</v>
      </c>
      <c r="B51" s="83" t="s">
        <v>193</v>
      </c>
      <c r="C51" s="16"/>
      <c r="D51" s="16"/>
      <c r="E51" s="84"/>
      <c r="F51" s="75" t="s">
        <v>12</v>
      </c>
      <c r="G51" s="90" t="s">
        <v>194</v>
      </c>
      <c r="H51" s="16"/>
      <c r="I51" s="1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22.5" customHeight="1">
      <c r="A52" s="16" t="s">
        <v>48</v>
      </c>
      <c r="B52" s="83" t="s">
        <v>195</v>
      </c>
      <c r="C52" s="16">
        <v>4.0</v>
      </c>
      <c r="D52" s="16" t="str">
        <f t="shared" ref="D52:D55" si="7">REPT("★",C52) &amp; REPT("☆",5-C52)</f>
        <v>★★★★☆</v>
      </c>
      <c r="E52" s="84" t="s">
        <v>49</v>
      </c>
      <c r="F52" s="75" t="s">
        <v>12</v>
      </c>
      <c r="G52" s="85" t="s">
        <v>98</v>
      </c>
      <c r="H52" s="16" t="s">
        <v>196</v>
      </c>
      <c r="I52" s="1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22.5" customHeight="1">
      <c r="A53" s="16" t="s">
        <v>197</v>
      </c>
      <c r="B53" s="83" t="s">
        <v>198</v>
      </c>
      <c r="C53" s="16">
        <v>3.0</v>
      </c>
      <c r="D53" s="16" t="str">
        <f t="shared" si="7"/>
        <v>★★★☆☆</v>
      </c>
      <c r="E53" s="84"/>
      <c r="F53" s="75" t="s">
        <v>12</v>
      </c>
      <c r="G53" s="85" t="s">
        <v>98</v>
      </c>
      <c r="H53" s="16" t="s">
        <v>199</v>
      </c>
      <c r="I53" s="1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22.5" customHeight="1">
      <c r="A54" s="16" t="s">
        <v>50</v>
      </c>
      <c r="B54" s="83" t="s">
        <v>200</v>
      </c>
      <c r="C54" s="16">
        <v>3.0</v>
      </c>
      <c r="D54" s="16" t="str">
        <f t="shared" si="7"/>
        <v>★★★☆☆</v>
      </c>
      <c r="E54" s="84"/>
      <c r="F54" s="75" t="s">
        <v>12</v>
      </c>
      <c r="G54" s="85" t="s">
        <v>98</v>
      </c>
      <c r="H54" s="16" t="s">
        <v>201</v>
      </c>
      <c r="I54" s="1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22.5" customHeight="1">
      <c r="A55" s="16" t="s">
        <v>51</v>
      </c>
      <c r="B55" s="83" t="s">
        <v>202</v>
      </c>
      <c r="C55" s="16">
        <v>4.0</v>
      </c>
      <c r="D55" s="16" t="str">
        <f t="shared" si="7"/>
        <v>★★★★☆</v>
      </c>
      <c r="E55" s="84"/>
      <c r="F55" s="75" t="s">
        <v>12</v>
      </c>
      <c r="G55" s="85" t="s">
        <v>98</v>
      </c>
      <c r="H55" s="16" t="s">
        <v>203</v>
      </c>
      <c r="I55" s="1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22.5" customHeight="1">
      <c r="A56" s="16" t="s">
        <v>204</v>
      </c>
      <c r="B56" s="83" t="s">
        <v>205</v>
      </c>
      <c r="C56" s="16"/>
      <c r="D56" s="16"/>
      <c r="E56" s="84" t="s">
        <v>70</v>
      </c>
      <c r="F56" s="75" t="s">
        <v>12</v>
      </c>
      <c r="G56" s="90" t="s">
        <v>114</v>
      </c>
      <c r="H56" s="16"/>
      <c r="I56" s="1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22.5" customHeight="1">
      <c r="A57" s="16" t="s">
        <v>206</v>
      </c>
      <c r="B57" s="83" t="s">
        <v>207</v>
      </c>
      <c r="C57" s="16"/>
      <c r="D57" s="16"/>
      <c r="E57" s="84" t="s">
        <v>103</v>
      </c>
      <c r="F57" s="75" t="s">
        <v>12</v>
      </c>
      <c r="G57" s="85" t="s">
        <v>98</v>
      </c>
      <c r="H57" s="16"/>
      <c r="I57" s="1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22.5" customHeight="1">
      <c r="A58" s="16" t="s">
        <v>208</v>
      </c>
      <c r="B58" s="83" t="s">
        <v>209</v>
      </c>
      <c r="C58" s="16">
        <v>3.0</v>
      </c>
      <c r="D58" s="16" t="str">
        <f>REPT("★",C58) &amp; REPT("☆",5-C58)</f>
        <v>★★★☆☆</v>
      </c>
      <c r="E58" s="84"/>
      <c r="F58" s="75" t="s">
        <v>12</v>
      </c>
      <c r="G58" s="85" t="s">
        <v>98</v>
      </c>
      <c r="H58" s="16"/>
      <c r="I58" s="1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22.5" customHeight="1">
      <c r="A59" s="16" t="s">
        <v>210</v>
      </c>
      <c r="B59" s="83" t="s">
        <v>211</v>
      </c>
      <c r="C59" s="16"/>
      <c r="D59" s="16"/>
      <c r="E59" s="84" t="s">
        <v>103</v>
      </c>
      <c r="F59" s="75" t="s">
        <v>12</v>
      </c>
      <c r="G59" s="85" t="s">
        <v>98</v>
      </c>
      <c r="H59" s="16"/>
      <c r="I59" s="1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22.5" customHeight="1">
      <c r="A60" s="16" t="s">
        <v>212</v>
      </c>
      <c r="B60" s="83" t="s">
        <v>213</v>
      </c>
      <c r="C60" s="16">
        <v>3.0</v>
      </c>
      <c r="D60" s="16" t="str">
        <f t="shared" ref="D60:D61" si="8">REPT("★",C60) &amp; REPT("☆",5-C60)</f>
        <v>★★★☆☆</v>
      </c>
      <c r="E60" s="84"/>
      <c r="F60" s="75" t="s">
        <v>12</v>
      </c>
      <c r="G60" s="85" t="s">
        <v>98</v>
      </c>
      <c r="H60" s="16" t="s">
        <v>214</v>
      </c>
      <c r="I60" s="1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22.5" customHeight="1">
      <c r="A61" s="16" t="s">
        <v>52</v>
      </c>
      <c r="B61" s="16" t="s">
        <v>215</v>
      </c>
      <c r="C61" s="16">
        <v>4.0</v>
      </c>
      <c r="D61" s="16" t="str">
        <f t="shared" si="8"/>
        <v>★★★★☆</v>
      </c>
      <c r="E61" s="84" t="s">
        <v>27</v>
      </c>
      <c r="F61" s="75" t="s">
        <v>12</v>
      </c>
      <c r="G61" s="85" t="s">
        <v>98</v>
      </c>
      <c r="H61" s="16" t="s">
        <v>216</v>
      </c>
      <c r="I61" s="1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22.5" customHeight="1">
      <c r="A62" s="16" t="s">
        <v>217</v>
      </c>
      <c r="B62" s="83" t="s">
        <v>218</v>
      </c>
      <c r="C62" s="16"/>
      <c r="D62" s="16"/>
      <c r="E62" s="84"/>
      <c r="F62" s="75" t="s">
        <v>12</v>
      </c>
      <c r="G62" s="90" t="s">
        <v>114</v>
      </c>
      <c r="H62" s="16"/>
      <c r="I62" s="1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22.5" customHeight="1">
      <c r="A63" s="16" t="s">
        <v>54</v>
      </c>
      <c r="B63" s="83" t="s">
        <v>219</v>
      </c>
      <c r="C63" s="16">
        <v>4.0</v>
      </c>
      <c r="D63" s="16" t="str">
        <f t="shared" ref="D63:D64" si="9">REPT("★",C63) &amp; REPT("☆",5-C63)</f>
        <v>★★★★☆</v>
      </c>
      <c r="E63" s="84"/>
      <c r="F63" s="75" t="s">
        <v>12</v>
      </c>
      <c r="G63" s="85" t="s">
        <v>98</v>
      </c>
      <c r="H63" s="16"/>
      <c r="I63" s="1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22.5" customHeight="1">
      <c r="A64" s="16" t="s">
        <v>220</v>
      </c>
      <c r="B64" s="83" t="s">
        <v>221</v>
      </c>
      <c r="C64" s="16">
        <v>3.0</v>
      </c>
      <c r="D64" s="16" t="str">
        <f t="shared" si="9"/>
        <v>★★★☆☆</v>
      </c>
      <c r="E64" s="84"/>
      <c r="F64" s="75" t="s">
        <v>12</v>
      </c>
      <c r="G64" s="85" t="s">
        <v>98</v>
      </c>
      <c r="H64" s="16"/>
      <c r="I64" s="1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22.5" customHeight="1">
      <c r="A65" s="16" t="s">
        <v>222</v>
      </c>
      <c r="B65" s="83" t="s">
        <v>223</v>
      </c>
      <c r="C65" s="16"/>
      <c r="D65" s="16"/>
      <c r="E65" s="84"/>
      <c r="F65" s="75" t="s">
        <v>12</v>
      </c>
      <c r="G65" s="90" t="s">
        <v>114</v>
      </c>
      <c r="H65" s="16"/>
      <c r="I65" s="1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22.5" customHeight="1">
      <c r="A66" s="16" t="s">
        <v>224</v>
      </c>
      <c r="B66" s="83" t="s">
        <v>225</v>
      </c>
      <c r="C66" s="16">
        <v>3.0</v>
      </c>
      <c r="D66" s="16" t="str">
        <f>REPT("★",C66) &amp; REPT("☆",5-C66)</f>
        <v>★★★☆☆</v>
      </c>
      <c r="E66" s="84"/>
      <c r="F66" s="75" t="s">
        <v>12</v>
      </c>
      <c r="G66" s="85" t="s">
        <v>98</v>
      </c>
      <c r="H66" s="16"/>
      <c r="I66" s="1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22.5" customHeight="1">
      <c r="A67" s="16" t="s">
        <v>226</v>
      </c>
      <c r="B67" s="83" t="s">
        <v>227</v>
      </c>
      <c r="C67" s="16"/>
      <c r="D67" s="16"/>
      <c r="E67" s="84" t="s">
        <v>103</v>
      </c>
      <c r="F67" s="75" t="s">
        <v>12</v>
      </c>
      <c r="G67" s="85" t="s">
        <v>98</v>
      </c>
      <c r="H67" s="16"/>
      <c r="I67" s="1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22.5" customHeight="1">
      <c r="A68" s="16" t="s">
        <v>55</v>
      </c>
      <c r="B68" s="83" t="s">
        <v>228</v>
      </c>
      <c r="C68" s="16">
        <v>4.0</v>
      </c>
      <c r="D68" s="16" t="str">
        <f>REPT("★",C68) &amp; REPT("☆",5-C68)</f>
        <v>★★★★☆</v>
      </c>
      <c r="E68" s="84" t="s">
        <v>27</v>
      </c>
      <c r="F68" s="75" t="s">
        <v>12</v>
      </c>
      <c r="G68" s="85" t="s">
        <v>98</v>
      </c>
      <c r="H68" s="16" t="s">
        <v>229</v>
      </c>
      <c r="I68" s="1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22.5" customHeight="1">
      <c r="A69" s="16" t="s">
        <v>230</v>
      </c>
      <c r="B69" s="83" t="s">
        <v>231</v>
      </c>
      <c r="C69" s="16"/>
      <c r="D69" s="16"/>
      <c r="E69" s="84" t="s">
        <v>70</v>
      </c>
      <c r="F69" s="75" t="s">
        <v>12</v>
      </c>
      <c r="G69" s="85" t="s">
        <v>98</v>
      </c>
      <c r="H69" s="16"/>
      <c r="I69" s="1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22.5" customHeight="1">
      <c r="A70" s="16" t="s">
        <v>232</v>
      </c>
      <c r="B70" s="83" t="s">
        <v>233</v>
      </c>
      <c r="C70" s="16">
        <v>3.0</v>
      </c>
      <c r="D70" s="16" t="str">
        <f>REPT("★",C70) &amp; REPT("☆",5-C70)</f>
        <v>★★★☆☆</v>
      </c>
      <c r="E70" s="84" t="s">
        <v>234</v>
      </c>
      <c r="F70" s="75" t="s">
        <v>12</v>
      </c>
      <c r="G70" s="85" t="s">
        <v>98</v>
      </c>
      <c r="H70" s="16" t="s">
        <v>235</v>
      </c>
      <c r="I70" s="1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22.5" customHeight="1">
      <c r="A71" s="16" t="s">
        <v>236</v>
      </c>
      <c r="B71" s="83" t="s">
        <v>237</v>
      </c>
      <c r="C71" s="16"/>
      <c r="D71" s="16"/>
      <c r="E71" s="84"/>
      <c r="F71" s="75" t="s">
        <v>12</v>
      </c>
      <c r="G71" s="90" t="s">
        <v>114</v>
      </c>
      <c r="H71" s="16"/>
      <c r="I71" s="1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22.5" customHeight="1">
      <c r="A72" s="16" t="s">
        <v>56</v>
      </c>
      <c r="B72" s="83" t="s">
        <v>238</v>
      </c>
      <c r="C72" s="16">
        <v>3.0</v>
      </c>
      <c r="D72" s="16" t="str">
        <f t="shared" ref="D72:D75" si="10">REPT("★",C72) &amp; REPT("☆",5-C72)</f>
        <v>★★★☆☆</v>
      </c>
      <c r="E72" s="84" t="s">
        <v>27</v>
      </c>
      <c r="F72" s="75" t="s">
        <v>12</v>
      </c>
      <c r="G72" s="85" t="s">
        <v>98</v>
      </c>
      <c r="H72" s="16" t="s">
        <v>239</v>
      </c>
      <c r="I72" s="1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22.5" customHeight="1">
      <c r="A73" s="16" t="s">
        <v>57</v>
      </c>
      <c r="B73" s="83" t="s">
        <v>240</v>
      </c>
      <c r="C73" s="16">
        <v>3.0</v>
      </c>
      <c r="D73" s="16" t="str">
        <f t="shared" si="10"/>
        <v>★★★☆☆</v>
      </c>
      <c r="E73" s="84"/>
      <c r="F73" s="75" t="s">
        <v>12</v>
      </c>
      <c r="G73" s="85" t="s">
        <v>98</v>
      </c>
      <c r="H73" s="16"/>
      <c r="I73" s="1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22.5" customHeight="1">
      <c r="A74" s="16" t="s">
        <v>241</v>
      </c>
      <c r="B74" s="83" t="s">
        <v>242</v>
      </c>
      <c r="C74" s="16">
        <v>3.0</v>
      </c>
      <c r="D74" s="16" t="str">
        <f t="shared" si="10"/>
        <v>★★★☆☆</v>
      </c>
      <c r="E74" s="84" t="s">
        <v>70</v>
      </c>
      <c r="F74" s="75" t="s">
        <v>12</v>
      </c>
      <c r="G74" s="85" t="s">
        <v>98</v>
      </c>
      <c r="H74" s="16"/>
      <c r="I74" s="1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22.5" customHeight="1">
      <c r="A75" s="16" t="s">
        <v>58</v>
      </c>
      <c r="B75" s="83" t="s">
        <v>243</v>
      </c>
      <c r="C75" s="16">
        <v>5.0</v>
      </c>
      <c r="D75" s="16" t="str">
        <f t="shared" si="10"/>
        <v>★★★★★</v>
      </c>
      <c r="E75" s="84" t="s">
        <v>59</v>
      </c>
      <c r="F75" s="75" t="s">
        <v>12</v>
      </c>
      <c r="G75" s="85" t="s">
        <v>98</v>
      </c>
      <c r="H75" s="16" t="s">
        <v>196</v>
      </c>
      <c r="I75" s="1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22.5" customHeight="1">
      <c r="A76" s="16" t="s">
        <v>244</v>
      </c>
      <c r="B76" s="83" t="s">
        <v>245</v>
      </c>
      <c r="C76" s="16"/>
      <c r="D76" s="16"/>
      <c r="E76" s="84"/>
      <c r="F76" s="75" t="s">
        <v>12</v>
      </c>
      <c r="G76" s="85" t="s">
        <v>98</v>
      </c>
      <c r="H76" s="16" t="s">
        <v>142</v>
      </c>
      <c r="I76" s="1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22.5" customHeight="1">
      <c r="A77" s="16" t="s">
        <v>246</v>
      </c>
      <c r="B77" s="83" t="s">
        <v>247</v>
      </c>
      <c r="C77" s="16"/>
      <c r="D77" s="16"/>
      <c r="E77" s="84"/>
      <c r="F77" s="75" t="s">
        <v>12</v>
      </c>
      <c r="G77" s="90" t="s">
        <v>114</v>
      </c>
      <c r="H77" s="16"/>
      <c r="I77" s="1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22.5" customHeight="1">
      <c r="A78" s="92" t="s">
        <v>248</v>
      </c>
      <c r="B78" s="83" t="s">
        <v>249</v>
      </c>
      <c r="C78" s="16"/>
      <c r="D78" s="16"/>
      <c r="E78" s="84"/>
      <c r="F78" s="75" t="s">
        <v>12</v>
      </c>
      <c r="G78" s="90" t="s">
        <v>114</v>
      </c>
      <c r="H78" s="16"/>
      <c r="I78" s="1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22.5" customHeight="1">
      <c r="A79" s="16" t="s">
        <v>61</v>
      </c>
      <c r="B79" s="83" t="s">
        <v>250</v>
      </c>
      <c r="C79" s="16">
        <v>4.0</v>
      </c>
      <c r="D79" s="16" t="str">
        <f t="shared" ref="D79:D80" si="11">REPT("★",C79) &amp; REPT("☆",5-C79)</f>
        <v>★★★★☆</v>
      </c>
      <c r="E79" s="84"/>
      <c r="F79" s="75" t="s">
        <v>12</v>
      </c>
      <c r="G79" s="85" t="s">
        <v>98</v>
      </c>
      <c r="H79" s="16" t="s">
        <v>251</v>
      </c>
      <c r="I79" s="1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22.5" customHeight="1">
      <c r="A80" s="16" t="s">
        <v>252</v>
      </c>
      <c r="B80" s="83" t="s">
        <v>253</v>
      </c>
      <c r="C80" s="16">
        <v>3.0</v>
      </c>
      <c r="D80" s="16" t="str">
        <f t="shared" si="11"/>
        <v>★★★☆☆</v>
      </c>
      <c r="E80" s="84"/>
      <c r="F80" s="75" t="s">
        <v>12</v>
      </c>
      <c r="G80" s="85" t="s">
        <v>98</v>
      </c>
      <c r="H80" s="16" t="s">
        <v>254</v>
      </c>
      <c r="I80" s="1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22.5" customHeight="1">
      <c r="A81" s="16" t="s">
        <v>255</v>
      </c>
      <c r="B81" s="83" t="s">
        <v>256</v>
      </c>
      <c r="C81" s="16"/>
      <c r="D81" s="16"/>
      <c r="E81" s="84"/>
      <c r="F81" s="75" t="s">
        <v>12</v>
      </c>
      <c r="G81" s="90" t="s">
        <v>114</v>
      </c>
      <c r="H81" s="16"/>
      <c r="I81" s="1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22.5" customHeight="1">
      <c r="A82" s="16" t="s">
        <v>62</v>
      </c>
      <c r="B82" s="83" t="s">
        <v>257</v>
      </c>
      <c r="C82" s="16">
        <v>3.0</v>
      </c>
      <c r="D82" s="16" t="str">
        <f t="shared" ref="D82:D86" si="12">REPT("★",C82) &amp; REPT("☆",5-C82)</f>
        <v>★★★☆☆</v>
      </c>
      <c r="E82" s="84"/>
      <c r="F82" s="75" t="s">
        <v>12</v>
      </c>
      <c r="G82" s="85" t="s">
        <v>98</v>
      </c>
      <c r="H82" s="16" t="s">
        <v>258</v>
      </c>
      <c r="I82" s="1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22.5" customHeight="1">
      <c r="A83" s="16" t="s">
        <v>259</v>
      </c>
      <c r="B83" s="83" t="s">
        <v>260</v>
      </c>
      <c r="C83" s="16">
        <v>3.0</v>
      </c>
      <c r="D83" s="16" t="str">
        <f t="shared" si="12"/>
        <v>★★★☆☆</v>
      </c>
      <c r="E83" s="84"/>
      <c r="F83" s="75" t="s">
        <v>12</v>
      </c>
      <c r="G83" s="85" t="s">
        <v>98</v>
      </c>
      <c r="H83" s="16" t="s">
        <v>261</v>
      </c>
      <c r="I83" s="1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22.5" customHeight="1">
      <c r="A84" s="16" t="s">
        <v>63</v>
      </c>
      <c r="B84" s="83" t="s">
        <v>262</v>
      </c>
      <c r="C84" s="16">
        <v>4.0</v>
      </c>
      <c r="D84" s="16" t="str">
        <f t="shared" si="12"/>
        <v>★★★★☆</v>
      </c>
      <c r="E84" s="84" t="s">
        <v>27</v>
      </c>
      <c r="F84" s="75" t="s">
        <v>12</v>
      </c>
      <c r="G84" s="85" t="s">
        <v>98</v>
      </c>
      <c r="H84" s="16" t="s">
        <v>122</v>
      </c>
      <c r="I84" s="1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22.5" customHeight="1">
      <c r="A85" s="16" t="s">
        <v>263</v>
      </c>
      <c r="B85" s="83" t="s">
        <v>264</v>
      </c>
      <c r="C85" s="16">
        <v>3.0</v>
      </c>
      <c r="D85" s="16" t="str">
        <f t="shared" si="12"/>
        <v>★★★☆☆</v>
      </c>
      <c r="E85" s="84"/>
      <c r="F85" s="75" t="s">
        <v>12</v>
      </c>
      <c r="G85" s="85" t="s">
        <v>98</v>
      </c>
      <c r="H85" s="16"/>
      <c r="I85" s="1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22.5" customHeight="1">
      <c r="A86" s="16" t="s">
        <v>65</v>
      </c>
      <c r="B86" s="83" t="s">
        <v>265</v>
      </c>
      <c r="C86" s="16">
        <v>4.0</v>
      </c>
      <c r="D86" s="16" t="str">
        <f t="shared" si="12"/>
        <v>★★★★☆</v>
      </c>
      <c r="E86" s="84"/>
      <c r="F86" s="75" t="s">
        <v>12</v>
      </c>
      <c r="G86" s="85" t="s">
        <v>98</v>
      </c>
      <c r="H86" s="16" t="s">
        <v>266</v>
      </c>
      <c r="I86" s="1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22.5" customHeight="1">
      <c r="A87" s="16" t="s">
        <v>66</v>
      </c>
      <c r="B87" s="83" t="s">
        <v>267</v>
      </c>
      <c r="C87" s="16"/>
      <c r="D87" s="16"/>
      <c r="E87" s="84"/>
      <c r="F87" s="75" t="s">
        <v>12</v>
      </c>
      <c r="G87" s="85" t="s">
        <v>98</v>
      </c>
      <c r="H87" s="16" t="s">
        <v>258</v>
      </c>
      <c r="I87" s="1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22.5" customHeight="1">
      <c r="A88" s="16" t="s">
        <v>268</v>
      </c>
      <c r="B88" s="83" t="s">
        <v>269</v>
      </c>
      <c r="C88" s="16"/>
      <c r="D88" s="16"/>
      <c r="E88" s="84"/>
      <c r="F88" s="75" t="s">
        <v>12</v>
      </c>
      <c r="G88" s="90" t="s">
        <v>114</v>
      </c>
      <c r="H88" s="16"/>
      <c r="I88" s="1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22.5" customHeight="1">
      <c r="A89" s="16" t="s">
        <v>270</v>
      </c>
      <c r="B89" s="83" t="s">
        <v>271</v>
      </c>
      <c r="C89" s="16">
        <v>3.0</v>
      </c>
      <c r="D89" s="16" t="str">
        <f t="shared" ref="D89:D92" si="13">REPT("★",C89) &amp; REPT("☆",5-C89)</f>
        <v>★★★☆☆</v>
      </c>
      <c r="E89" s="84" t="s">
        <v>27</v>
      </c>
      <c r="F89" s="75" t="s">
        <v>12</v>
      </c>
      <c r="G89" s="85" t="s">
        <v>98</v>
      </c>
      <c r="H89" s="16" t="s">
        <v>139</v>
      </c>
      <c r="I89" s="1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22.5" customHeight="1">
      <c r="A90" s="16" t="s">
        <v>272</v>
      </c>
      <c r="B90" s="83" t="s">
        <v>273</v>
      </c>
      <c r="C90" s="16">
        <v>3.0</v>
      </c>
      <c r="D90" s="16" t="str">
        <f t="shared" si="13"/>
        <v>★★★☆☆</v>
      </c>
      <c r="E90" s="84"/>
      <c r="F90" s="75" t="s">
        <v>12</v>
      </c>
      <c r="G90" s="85" t="s">
        <v>98</v>
      </c>
      <c r="H90" s="16" t="s">
        <v>274</v>
      </c>
      <c r="I90" s="1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22.5" customHeight="1">
      <c r="A91" s="16" t="s">
        <v>275</v>
      </c>
      <c r="B91" s="83" t="s">
        <v>276</v>
      </c>
      <c r="C91" s="16">
        <v>3.0</v>
      </c>
      <c r="D91" s="16" t="str">
        <f t="shared" si="13"/>
        <v>★★★☆☆</v>
      </c>
      <c r="E91" s="84" t="s">
        <v>27</v>
      </c>
      <c r="F91" s="75" t="s">
        <v>12</v>
      </c>
      <c r="G91" s="85" t="s">
        <v>98</v>
      </c>
      <c r="H91" s="16"/>
      <c r="I91" s="1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22.5" customHeight="1">
      <c r="A92" s="16" t="s">
        <v>67</v>
      </c>
      <c r="B92" s="83" t="s">
        <v>277</v>
      </c>
      <c r="C92" s="16">
        <v>4.0</v>
      </c>
      <c r="D92" s="16" t="str">
        <f t="shared" si="13"/>
        <v>★★★★☆</v>
      </c>
      <c r="E92" s="84" t="s">
        <v>68</v>
      </c>
      <c r="F92" s="75" t="s">
        <v>12</v>
      </c>
      <c r="G92" s="85" t="s">
        <v>98</v>
      </c>
      <c r="H92" s="16" t="s">
        <v>278</v>
      </c>
      <c r="I92" s="1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22.5" customHeight="1">
      <c r="A93" s="16" t="s">
        <v>69</v>
      </c>
      <c r="B93" s="83" t="s">
        <v>279</v>
      </c>
      <c r="C93" s="16"/>
      <c r="D93" s="16"/>
      <c r="E93" s="84" t="s">
        <v>70</v>
      </c>
      <c r="F93" s="75" t="s">
        <v>12</v>
      </c>
      <c r="G93" s="85" t="s">
        <v>98</v>
      </c>
      <c r="H93" s="16"/>
      <c r="I93" s="1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22.5" customHeight="1">
      <c r="A94" s="16" t="s">
        <v>71</v>
      </c>
      <c r="B94" s="83" t="s">
        <v>280</v>
      </c>
      <c r="C94" s="16">
        <v>4.0</v>
      </c>
      <c r="D94" s="16" t="str">
        <f t="shared" ref="D94:D95" si="14">REPT("★",C94) &amp; REPT("☆",5-C94)</f>
        <v>★★★★☆</v>
      </c>
      <c r="E94" s="84" t="s">
        <v>27</v>
      </c>
      <c r="F94" s="75" t="s">
        <v>12</v>
      </c>
      <c r="G94" s="85" t="s">
        <v>98</v>
      </c>
      <c r="H94" s="16" t="s">
        <v>281</v>
      </c>
      <c r="I94" s="1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22.5" customHeight="1">
      <c r="A95" s="16" t="s">
        <v>282</v>
      </c>
      <c r="B95" s="83" t="s">
        <v>283</v>
      </c>
      <c r="C95" s="16">
        <v>3.0</v>
      </c>
      <c r="D95" s="16" t="str">
        <f t="shared" si="14"/>
        <v>★★★☆☆</v>
      </c>
      <c r="E95" s="84"/>
      <c r="F95" s="75" t="s">
        <v>12</v>
      </c>
      <c r="G95" s="85" t="s">
        <v>98</v>
      </c>
      <c r="H95" s="16"/>
      <c r="I95" s="1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22.5" customHeight="1">
      <c r="A96" s="16" t="s">
        <v>284</v>
      </c>
      <c r="B96" s="83" t="s">
        <v>285</v>
      </c>
      <c r="C96" s="16"/>
      <c r="D96" s="16"/>
      <c r="E96" s="84"/>
      <c r="F96" s="75" t="s">
        <v>12</v>
      </c>
      <c r="G96" s="85" t="s">
        <v>98</v>
      </c>
      <c r="H96" s="16"/>
      <c r="I96" s="1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22.5" customHeight="1">
      <c r="A97" s="16" t="s">
        <v>286</v>
      </c>
      <c r="B97" s="83" t="s">
        <v>287</v>
      </c>
      <c r="C97" s="16">
        <v>3.0</v>
      </c>
      <c r="D97" s="16" t="str">
        <f>REPT("★",C97) &amp; REPT("☆",5-C97)</f>
        <v>★★★☆☆</v>
      </c>
      <c r="E97" s="84"/>
      <c r="F97" s="75" t="s">
        <v>12</v>
      </c>
      <c r="G97" s="85" t="s">
        <v>98</v>
      </c>
      <c r="H97" s="16" t="s">
        <v>288</v>
      </c>
      <c r="I97" s="1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22.5" customHeight="1">
      <c r="A98" s="16" t="s">
        <v>289</v>
      </c>
      <c r="B98" s="83" t="s">
        <v>290</v>
      </c>
      <c r="C98" s="16"/>
      <c r="D98" s="16"/>
      <c r="E98" s="84" t="s">
        <v>70</v>
      </c>
      <c r="F98" s="75" t="s">
        <v>12</v>
      </c>
      <c r="G98" s="90"/>
      <c r="H98" s="16"/>
      <c r="I98" s="1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22.5" customHeight="1">
      <c r="A99" s="16" t="s">
        <v>291</v>
      </c>
      <c r="B99" s="83" t="s">
        <v>292</v>
      </c>
      <c r="C99" s="16"/>
      <c r="D99" s="16"/>
      <c r="E99" s="84"/>
      <c r="F99" s="75" t="s">
        <v>12</v>
      </c>
      <c r="G99" s="90" t="s">
        <v>114</v>
      </c>
      <c r="H99" s="16"/>
      <c r="I99" s="1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22.5" customHeight="1">
      <c r="A100" s="16" t="s">
        <v>293</v>
      </c>
      <c r="B100" s="83" t="s">
        <v>294</v>
      </c>
      <c r="C100" s="16">
        <v>4.0</v>
      </c>
      <c r="D100" s="16" t="str">
        <f>REPT("★",C100) &amp; REPT("☆",5-C100)</f>
        <v>★★★★☆</v>
      </c>
      <c r="E100" s="84" t="s">
        <v>295</v>
      </c>
      <c r="F100" s="75" t="s">
        <v>12</v>
      </c>
      <c r="G100" s="85" t="s">
        <v>98</v>
      </c>
      <c r="H100" s="16" t="s">
        <v>196</v>
      </c>
      <c r="I100" s="1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22.5" customHeight="1">
      <c r="A101" s="16" t="s">
        <v>296</v>
      </c>
      <c r="B101" s="83" t="s">
        <v>297</v>
      </c>
      <c r="C101" s="16"/>
      <c r="D101" s="16"/>
      <c r="E101" s="84"/>
      <c r="F101" s="75" t="s">
        <v>12</v>
      </c>
      <c r="G101" s="90" t="s">
        <v>114</v>
      </c>
      <c r="H101" s="16"/>
      <c r="I101" s="1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22.5" customHeight="1">
      <c r="A102" s="16" t="s">
        <v>72</v>
      </c>
      <c r="B102" s="83" t="s">
        <v>298</v>
      </c>
      <c r="C102" s="16">
        <v>3.0</v>
      </c>
      <c r="D102" s="16" t="str">
        <f>REPT("★",C102) &amp; REPT("☆",5-C102)</f>
        <v>★★★☆☆</v>
      </c>
      <c r="E102" s="84" t="s">
        <v>74</v>
      </c>
      <c r="F102" s="75" t="s">
        <v>12</v>
      </c>
      <c r="G102" s="42" t="s">
        <v>98</v>
      </c>
      <c r="H102" s="16" t="s">
        <v>139</v>
      </c>
      <c r="I102" s="1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22.5" customHeight="1">
      <c r="A103" s="16" t="s">
        <v>299</v>
      </c>
      <c r="B103" s="16" t="s">
        <v>300</v>
      </c>
      <c r="C103" s="16"/>
      <c r="D103" s="16"/>
      <c r="E103" s="84" t="s">
        <v>70</v>
      </c>
      <c r="F103" s="75" t="s">
        <v>12</v>
      </c>
      <c r="G103" s="90"/>
      <c r="H103" s="16"/>
      <c r="I103" s="1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22.5" customHeight="1">
      <c r="A104" s="16" t="s">
        <v>301</v>
      </c>
      <c r="B104" s="83" t="s">
        <v>302</v>
      </c>
      <c r="C104" s="16">
        <v>3.0</v>
      </c>
      <c r="D104" s="16" t="str">
        <f>REPT("★",C104) &amp; REPT("☆",5-C104)</f>
        <v>★★★☆☆</v>
      </c>
      <c r="E104" s="84"/>
      <c r="F104" s="75" t="s">
        <v>12</v>
      </c>
      <c r="G104" s="85" t="s">
        <v>98</v>
      </c>
      <c r="H104" s="16" t="s">
        <v>303</v>
      </c>
      <c r="I104" s="1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22.5" customHeight="1">
      <c r="A105" s="16" t="s">
        <v>304</v>
      </c>
      <c r="B105" s="83" t="s">
        <v>305</v>
      </c>
      <c r="C105" s="16"/>
      <c r="D105" s="16"/>
      <c r="E105" s="84"/>
      <c r="F105" s="75" t="s">
        <v>12</v>
      </c>
      <c r="G105" s="90" t="s">
        <v>114</v>
      </c>
      <c r="H105" s="16"/>
      <c r="I105" s="1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22.5" customHeight="1">
      <c r="A106" s="16" t="s">
        <v>306</v>
      </c>
      <c r="B106" s="83" t="s">
        <v>307</v>
      </c>
      <c r="C106" s="16">
        <v>3.0</v>
      </c>
      <c r="D106" s="16" t="str">
        <f>REPT("★",C106) &amp; REPT("☆",5-C106)</f>
        <v>★★★☆☆</v>
      </c>
      <c r="E106" s="84"/>
      <c r="F106" s="75" t="s">
        <v>12</v>
      </c>
      <c r="G106" s="85" t="s">
        <v>98</v>
      </c>
      <c r="H106" s="16"/>
      <c r="I106" s="1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22.5" customHeight="1">
      <c r="A107" s="16" t="s">
        <v>308</v>
      </c>
      <c r="B107" s="83" t="s">
        <v>309</v>
      </c>
      <c r="C107" s="16"/>
      <c r="D107" s="16"/>
      <c r="E107" s="84"/>
      <c r="F107" s="75" t="s">
        <v>12</v>
      </c>
      <c r="G107" s="90" t="s">
        <v>114</v>
      </c>
      <c r="H107" s="16"/>
      <c r="I107" s="1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22.5" customHeight="1">
      <c r="A108" s="16" t="s">
        <v>310</v>
      </c>
      <c r="B108" s="83" t="s">
        <v>311</v>
      </c>
      <c r="C108" s="16">
        <v>3.0</v>
      </c>
      <c r="D108" s="16" t="str">
        <f>REPT("★",C108) &amp; REPT("☆",5-C108)</f>
        <v>★★★☆☆</v>
      </c>
      <c r="E108" s="84"/>
      <c r="F108" s="75" t="s">
        <v>12</v>
      </c>
      <c r="G108" s="85" t="s">
        <v>98</v>
      </c>
      <c r="H108" s="16"/>
      <c r="I108" s="1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22.5" customHeight="1">
      <c r="A109" s="16" t="s">
        <v>312</v>
      </c>
      <c r="B109" s="83" t="s">
        <v>313</v>
      </c>
      <c r="C109" s="16"/>
      <c r="D109" s="16"/>
      <c r="E109" s="84"/>
      <c r="F109" s="75" t="s">
        <v>12</v>
      </c>
      <c r="G109" s="90" t="s">
        <v>114</v>
      </c>
      <c r="H109" s="16"/>
      <c r="I109" s="1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22.5" customHeight="1">
      <c r="A110" s="16" t="s">
        <v>314</v>
      </c>
      <c r="B110" s="83" t="s">
        <v>315</v>
      </c>
      <c r="C110" s="16">
        <v>4.0</v>
      </c>
      <c r="D110" s="16" t="str">
        <f>REPT("★",C110) &amp; REPT("☆",5-C110)</f>
        <v>★★★★☆</v>
      </c>
      <c r="E110" s="84"/>
      <c r="F110" s="75" t="s">
        <v>12</v>
      </c>
      <c r="G110" s="85" t="s">
        <v>98</v>
      </c>
      <c r="H110" s="16" t="s">
        <v>316</v>
      </c>
      <c r="I110" s="1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22.5" customHeight="1">
      <c r="A111" s="16" t="s">
        <v>317</v>
      </c>
      <c r="B111" s="83" t="s">
        <v>318</v>
      </c>
      <c r="C111" s="16"/>
      <c r="D111" s="16"/>
      <c r="E111" s="84" t="s">
        <v>319</v>
      </c>
      <c r="F111" s="75" t="s">
        <v>12</v>
      </c>
      <c r="G111" s="85" t="s">
        <v>98</v>
      </c>
      <c r="H111" s="16"/>
      <c r="I111" s="1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22.5" customHeight="1">
      <c r="A112" s="16" t="s">
        <v>320</v>
      </c>
      <c r="B112" s="83" t="s">
        <v>321</v>
      </c>
      <c r="C112" s="16"/>
      <c r="D112" s="16"/>
      <c r="E112" s="84"/>
      <c r="F112" s="75" t="s">
        <v>12</v>
      </c>
      <c r="G112" s="90" t="s">
        <v>114</v>
      </c>
      <c r="H112" s="16"/>
      <c r="I112" s="1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22.5" customHeight="1">
      <c r="A113" s="16" t="s">
        <v>322</v>
      </c>
      <c r="B113" s="83" t="s">
        <v>323</v>
      </c>
      <c r="C113" s="16"/>
      <c r="D113" s="16"/>
      <c r="E113" s="84"/>
      <c r="F113" s="75" t="s">
        <v>12</v>
      </c>
      <c r="G113" s="90" t="s">
        <v>114</v>
      </c>
      <c r="H113" s="16"/>
      <c r="I113" s="1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22.5" customHeight="1">
      <c r="A114" s="92" t="s">
        <v>324</v>
      </c>
      <c r="B114" s="83" t="s">
        <v>325</v>
      </c>
      <c r="C114" s="16"/>
      <c r="D114" s="16"/>
      <c r="E114" s="84"/>
      <c r="F114" s="75" t="s">
        <v>12</v>
      </c>
      <c r="G114" s="90" t="s">
        <v>114</v>
      </c>
      <c r="H114" s="16"/>
      <c r="I114" s="1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22.5" customHeight="1">
      <c r="A115" s="16" t="s">
        <v>326</v>
      </c>
      <c r="B115" s="83" t="s">
        <v>327</v>
      </c>
      <c r="C115" s="16"/>
      <c r="D115" s="16"/>
      <c r="E115" s="84" t="s">
        <v>70</v>
      </c>
      <c r="F115" s="75" t="s">
        <v>12</v>
      </c>
      <c r="G115" s="85" t="s">
        <v>98</v>
      </c>
      <c r="H115" s="16"/>
      <c r="I115" s="1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22.5" customHeight="1">
      <c r="A116" s="16" t="s">
        <v>328</v>
      </c>
      <c r="B116" s="83" t="s">
        <v>329</v>
      </c>
      <c r="C116" s="16">
        <v>3.0</v>
      </c>
      <c r="D116" s="16" t="str">
        <f t="shared" ref="D116:D117" si="15">REPT("★",C116) &amp; REPT("☆",5-C116)</f>
        <v>★★★☆☆</v>
      </c>
      <c r="E116" s="84"/>
      <c r="F116" s="75" t="s">
        <v>12</v>
      </c>
      <c r="G116" s="85" t="s">
        <v>98</v>
      </c>
      <c r="H116" s="16" t="s">
        <v>330</v>
      </c>
      <c r="I116" s="1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22.5" customHeight="1">
      <c r="A117" s="16" t="s">
        <v>331</v>
      </c>
      <c r="B117" s="83" t="s">
        <v>332</v>
      </c>
      <c r="C117" s="16">
        <v>3.0</v>
      </c>
      <c r="D117" s="16" t="str">
        <f t="shared" si="15"/>
        <v>★★★☆☆</v>
      </c>
      <c r="E117" s="84" t="s">
        <v>27</v>
      </c>
      <c r="F117" s="75" t="s">
        <v>12</v>
      </c>
      <c r="G117" s="85" t="s">
        <v>98</v>
      </c>
      <c r="H117" s="16" t="s">
        <v>333</v>
      </c>
      <c r="I117" s="1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22.5" customHeight="1">
      <c r="A118" s="16" t="s">
        <v>334</v>
      </c>
      <c r="B118" s="83" t="s">
        <v>335</v>
      </c>
      <c r="C118" s="16"/>
      <c r="D118" s="16"/>
      <c r="E118" s="84" t="s">
        <v>70</v>
      </c>
      <c r="F118" s="75" t="s">
        <v>12</v>
      </c>
      <c r="G118" s="90"/>
      <c r="H118" s="16"/>
      <c r="I118" s="1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22.5" customHeight="1">
      <c r="A119" s="16" t="s">
        <v>336</v>
      </c>
      <c r="B119" s="83" t="s">
        <v>337</v>
      </c>
      <c r="C119" s="16"/>
      <c r="D119" s="16"/>
      <c r="E119" s="84"/>
      <c r="F119" s="75" t="s">
        <v>12</v>
      </c>
      <c r="G119" s="85" t="s">
        <v>98</v>
      </c>
      <c r="H119" s="16"/>
      <c r="I119" s="1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22.5" customHeight="1">
      <c r="A120" s="16" t="s">
        <v>75</v>
      </c>
      <c r="B120" s="83" t="s">
        <v>338</v>
      </c>
      <c r="C120" s="16">
        <v>4.0</v>
      </c>
      <c r="D120" s="16" t="str">
        <f t="shared" ref="D120:D121" si="16">REPT("★",C120) &amp; REPT("☆",5-C120)</f>
        <v>★★★★☆</v>
      </c>
      <c r="E120" s="84"/>
      <c r="F120" s="75" t="s">
        <v>12</v>
      </c>
      <c r="G120" s="85" t="s">
        <v>98</v>
      </c>
      <c r="H120" s="16" t="s">
        <v>339</v>
      </c>
      <c r="I120" s="1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22.5" customHeight="1">
      <c r="A121" s="16" t="s">
        <v>340</v>
      </c>
      <c r="B121" s="83" t="s">
        <v>341</v>
      </c>
      <c r="C121" s="16">
        <v>3.0</v>
      </c>
      <c r="D121" s="16" t="str">
        <f t="shared" si="16"/>
        <v>★★★☆☆</v>
      </c>
      <c r="E121" s="84" t="s">
        <v>27</v>
      </c>
      <c r="F121" s="75" t="s">
        <v>12</v>
      </c>
      <c r="G121" s="85" t="s">
        <v>98</v>
      </c>
      <c r="H121" s="16" t="s">
        <v>122</v>
      </c>
      <c r="I121" s="1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22.5" customHeight="1">
      <c r="A122" s="16" t="s">
        <v>342</v>
      </c>
      <c r="B122" s="83" t="s">
        <v>343</v>
      </c>
      <c r="C122" s="16"/>
      <c r="D122" s="16"/>
      <c r="E122" s="84"/>
      <c r="F122" s="75" t="s">
        <v>12</v>
      </c>
      <c r="G122" s="90" t="s">
        <v>114</v>
      </c>
      <c r="H122" s="16"/>
      <c r="I122" s="1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22.5" customHeight="1">
      <c r="A123" s="16" t="s">
        <v>344</v>
      </c>
      <c r="B123" s="83" t="s">
        <v>345</v>
      </c>
      <c r="C123" s="16">
        <v>3.0</v>
      </c>
      <c r="D123" s="16" t="str">
        <f t="shared" ref="D123:D126" si="17">REPT("★",C123) &amp; REPT("☆",5-C123)</f>
        <v>★★★☆☆</v>
      </c>
      <c r="E123" s="84"/>
      <c r="F123" s="75" t="s">
        <v>12</v>
      </c>
      <c r="G123" s="85" t="s">
        <v>98</v>
      </c>
      <c r="H123" s="16" t="s">
        <v>139</v>
      </c>
      <c r="I123" s="1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22.5" customHeight="1">
      <c r="A124" s="16" t="s">
        <v>346</v>
      </c>
      <c r="B124" s="83" t="s">
        <v>347</v>
      </c>
      <c r="C124" s="16">
        <v>3.0</v>
      </c>
      <c r="D124" s="16" t="str">
        <f t="shared" si="17"/>
        <v>★★★☆☆</v>
      </c>
      <c r="E124" s="84" t="s">
        <v>27</v>
      </c>
      <c r="F124" s="75" t="s">
        <v>12</v>
      </c>
      <c r="G124" s="85" t="s">
        <v>98</v>
      </c>
      <c r="H124" s="16" t="s">
        <v>122</v>
      </c>
      <c r="I124" s="1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22.5" customHeight="1">
      <c r="A125" s="16" t="s">
        <v>348</v>
      </c>
      <c r="B125" s="83" t="s">
        <v>349</v>
      </c>
      <c r="C125" s="16">
        <v>3.0</v>
      </c>
      <c r="D125" s="16" t="str">
        <f t="shared" si="17"/>
        <v>★★★☆☆</v>
      </c>
      <c r="E125" s="84" t="s">
        <v>350</v>
      </c>
      <c r="F125" s="75" t="s">
        <v>12</v>
      </c>
      <c r="G125" s="85" t="s">
        <v>98</v>
      </c>
      <c r="H125" s="16" t="s">
        <v>351</v>
      </c>
      <c r="I125" s="1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22.5" customHeight="1">
      <c r="A126" s="16" t="s">
        <v>85</v>
      </c>
      <c r="B126" s="83" t="s">
        <v>352</v>
      </c>
      <c r="C126" s="16">
        <v>5.0</v>
      </c>
      <c r="D126" s="16" t="str">
        <f t="shared" si="17"/>
        <v>★★★★★</v>
      </c>
      <c r="E126" s="84" t="s">
        <v>27</v>
      </c>
      <c r="F126" s="75" t="s">
        <v>12</v>
      </c>
      <c r="G126" s="85" t="s">
        <v>98</v>
      </c>
      <c r="H126" s="16"/>
      <c r="I126" s="1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22.5" customHeight="1">
      <c r="A127" s="16" t="s">
        <v>353</v>
      </c>
      <c r="B127" s="83" t="s">
        <v>354</v>
      </c>
      <c r="C127" s="16"/>
      <c r="D127" s="16"/>
      <c r="E127" s="84"/>
      <c r="F127" s="75" t="s">
        <v>12</v>
      </c>
      <c r="G127" s="85" t="s">
        <v>98</v>
      </c>
      <c r="H127" s="16"/>
      <c r="I127" s="1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22.5" customHeight="1">
      <c r="A128" s="16" t="s">
        <v>355</v>
      </c>
      <c r="B128" s="83" t="s">
        <v>356</v>
      </c>
      <c r="C128" s="16"/>
      <c r="D128" s="16"/>
      <c r="E128" s="84" t="s">
        <v>70</v>
      </c>
      <c r="F128" s="75" t="s">
        <v>12</v>
      </c>
      <c r="G128" s="85" t="s">
        <v>98</v>
      </c>
      <c r="H128" s="16"/>
      <c r="I128" s="1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22.5" customHeight="1">
      <c r="A129" s="16" t="s">
        <v>357</v>
      </c>
      <c r="B129" s="83" t="s">
        <v>358</v>
      </c>
      <c r="C129" s="16"/>
      <c r="D129" s="16"/>
      <c r="E129" s="84"/>
      <c r="F129" s="75" t="s">
        <v>12</v>
      </c>
      <c r="G129" s="90" t="s">
        <v>114</v>
      </c>
      <c r="H129" s="16"/>
      <c r="I129" s="1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22.5" customHeight="1">
      <c r="A130" s="16" t="s">
        <v>359</v>
      </c>
      <c r="B130" s="83" t="s">
        <v>360</v>
      </c>
      <c r="C130" s="16">
        <v>3.0</v>
      </c>
      <c r="D130" s="16" t="str">
        <f t="shared" ref="D130:D132" si="18">REPT("★",C130) &amp; REPT("☆",5-C130)</f>
        <v>★★★☆☆</v>
      </c>
      <c r="E130" s="84"/>
      <c r="F130" s="75" t="s">
        <v>12</v>
      </c>
      <c r="G130" s="85" t="s">
        <v>98</v>
      </c>
      <c r="H130" s="16"/>
      <c r="I130" s="1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22.5" customHeight="1">
      <c r="A131" s="16" t="s">
        <v>76</v>
      </c>
      <c r="B131" s="83" t="s">
        <v>361</v>
      </c>
      <c r="C131" s="16">
        <v>4.0</v>
      </c>
      <c r="D131" s="16" t="str">
        <f t="shared" si="18"/>
        <v>★★★★☆</v>
      </c>
      <c r="E131" s="84"/>
      <c r="F131" s="75" t="s">
        <v>12</v>
      </c>
      <c r="G131" s="85" t="s">
        <v>98</v>
      </c>
      <c r="H131" s="16" t="s">
        <v>339</v>
      </c>
      <c r="I131" s="1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22.5" customHeight="1">
      <c r="A132" s="16" t="s">
        <v>362</v>
      </c>
      <c r="B132" s="83" t="s">
        <v>363</v>
      </c>
      <c r="C132" s="16">
        <v>4.0</v>
      </c>
      <c r="D132" s="16" t="str">
        <f t="shared" si="18"/>
        <v>★★★★☆</v>
      </c>
      <c r="E132" s="84"/>
      <c r="F132" s="75" t="s">
        <v>12</v>
      </c>
      <c r="G132" s="85" t="s">
        <v>98</v>
      </c>
      <c r="H132" s="16"/>
      <c r="I132" s="1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22.5" customHeight="1">
      <c r="A133" s="16" t="s">
        <v>364</v>
      </c>
      <c r="B133" s="83" t="s">
        <v>365</v>
      </c>
      <c r="C133" s="16"/>
      <c r="D133" s="16"/>
      <c r="E133" s="84"/>
      <c r="F133" s="75" t="s">
        <v>12</v>
      </c>
      <c r="G133" s="90" t="s">
        <v>114</v>
      </c>
      <c r="H133" s="16"/>
      <c r="I133" s="1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22.5" customHeight="1">
      <c r="A134" s="16" t="s">
        <v>366</v>
      </c>
      <c r="B134" s="83" t="s">
        <v>367</v>
      </c>
      <c r="C134" s="16">
        <v>3.0</v>
      </c>
      <c r="D134" s="16" t="str">
        <f t="shared" ref="D134:D135" si="19">REPT("★",C134) &amp; REPT("☆",5-C134)</f>
        <v>★★★☆☆</v>
      </c>
      <c r="E134" s="84"/>
      <c r="F134" s="75" t="s">
        <v>12</v>
      </c>
      <c r="G134" s="85" t="s">
        <v>98</v>
      </c>
      <c r="H134" s="10" t="s">
        <v>368</v>
      </c>
      <c r="I134" s="1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22.5" customHeight="1">
      <c r="A135" s="16" t="s">
        <v>369</v>
      </c>
      <c r="B135" s="83" t="s">
        <v>370</v>
      </c>
      <c r="C135" s="16">
        <v>3.0</v>
      </c>
      <c r="D135" s="16" t="str">
        <f t="shared" si="19"/>
        <v>★★★☆☆</v>
      </c>
      <c r="E135" s="84"/>
      <c r="F135" s="75" t="s">
        <v>12</v>
      </c>
      <c r="G135" s="85" t="s">
        <v>98</v>
      </c>
      <c r="H135" s="16" t="s">
        <v>371</v>
      </c>
      <c r="I135" s="1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22.5" customHeight="1">
      <c r="A136" s="16" t="s">
        <v>372</v>
      </c>
      <c r="B136" s="83" t="s">
        <v>373</v>
      </c>
      <c r="C136" s="16"/>
      <c r="D136" s="16"/>
      <c r="E136" s="84"/>
      <c r="F136" s="75" t="s">
        <v>12</v>
      </c>
      <c r="G136" s="90" t="s">
        <v>114</v>
      </c>
      <c r="H136" s="16"/>
      <c r="I136" s="1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22.5" customHeight="1">
      <c r="A137" s="16" t="s">
        <v>77</v>
      </c>
      <c r="B137" s="83" t="s">
        <v>374</v>
      </c>
      <c r="C137" s="16">
        <v>4.0</v>
      </c>
      <c r="D137" s="16" t="str">
        <f>REPT("★",C137) &amp; REPT("☆",5-C137)</f>
        <v>★★★★☆</v>
      </c>
      <c r="E137" s="84"/>
      <c r="F137" s="75" t="s">
        <v>12</v>
      </c>
      <c r="G137" s="85" t="s">
        <v>98</v>
      </c>
      <c r="H137" s="16" t="s">
        <v>375</v>
      </c>
      <c r="I137" s="1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22.5" customHeight="1">
      <c r="A138" s="16" t="s">
        <v>376</v>
      </c>
      <c r="B138" s="83" t="s">
        <v>377</v>
      </c>
      <c r="C138" s="16"/>
      <c r="D138" s="16"/>
      <c r="E138" s="84"/>
      <c r="F138" s="75" t="s">
        <v>12</v>
      </c>
      <c r="G138" s="90" t="s">
        <v>114</v>
      </c>
      <c r="H138" s="16"/>
      <c r="I138" s="1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22.5" customHeight="1">
      <c r="A139" s="16" t="s">
        <v>378</v>
      </c>
      <c r="B139" s="83" t="s">
        <v>379</v>
      </c>
      <c r="C139" s="16">
        <v>4.0</v>
      </c>
      <c r="D139" s="16" t="str">
        <f t="shared" ref="D139:D143" si="20">REPT("★",C139) &amp; REPT("☆",5-C139)</f>
        <v>★★★★☆</v>
      </c>
      <c r="E139" s="84" t="s">
        <v>380</v>
      </c>
      <c r="F139" s="75" t="s">
        <v>12</v>
      </c>
      <c r="G139" s="42" t="s">
        <v>98</v>
      </c>
      <c r="H139" s="16" t="s">
        <v>142</v>
      </c>
      <c r="I139" s="1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22.5" customHeight="1">
      <c r="A140" s="16" t="s">
        <v>78</v>
      </c>
      <c r="B140" s="83" t="s">
        <v>381</v>
      </c>
      <c r="C140" s="16">
        <v>5.0</v>
      </c>
      <c r="D140" s="16" t="str">
        <f t="shared" si="20"/>
        <v>★★★★★</v>
      </c>
      <c r="E140" s="84" t="s">
        <v>27</v>
      </c>
      <c r="F140" s="75" t="s">
        <v>12</v>
      </c>
      <c r="G140" s="85" t="s">
        <v>98</v>
      </c>
      <c r="H140" s="16"/>
      <c r="I140" s="1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22.5" customHeight="1">
      <c r="A141" s="16" t="s">
        <v>382</v>
      </c>
      <c r="B141" s="83" t="s">
        <v>383</v>
      </c>
      <c r="C141" s="16">
        <v>3.0</v>
      </c>
      <c r="D141" s="16" t="str">
        <f t="shared" si="20"/>
        <v>★★★☆☆</v>
      </c>
      <c r="E141" s="84" t="s">
        <v>384</v>
      </c>
      <c r="F141" s="75" t="s">
        <v>12</v>
      </c>
      <c r="G141" s="85" t="s">
        <v>98</v>
      </c>
      <c r="H141" s="16"/>
      <c r="I141" s="1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22.5" customHeight="1">
      <c r="A142" s="16" t="s">
        <v>385</v>
      </c>
      <c r="B142" s="83" t="s">
        <v>386</v>
      </c>
      <c r="C142" s="16">
        <v>3.0</v>
      </c>
      <c r="D142" s="16" t="str">
        <f t="shared" si="20"/>
        <v>★★★☆☆</v>
      </c>
      <c r="E142" s="84"/>
      <c r="F142" s="75" t="s">
        <v>12</v>
      </c>
      <c r="G142" s="85" t="s">
        <v>98</v>
      </c>
      <c r="H142" s="16" t="s">
        <v>387</v>
      </c>
      <c r="I142" s="1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22.5" customHeight="1">
      <c r="A143" s="16" t="s">
        <v>80</v>
      </c>
      <c r="B143" s="83" t="s">
        <v>388</v>
      </c>
      <c r="C143" s="16">
        <v>5.0</v>
      </c>
      <c r="D143" s="16" t="str">
        <f t="shared" si="20"/>
        <v>★★★★★</v>
      </c>
      <c r="E143" s="84" t="s">
        <v>82</v>
      </c>
      <c r="F143" s="75" t="s">
        <v>12</v>
      </c>
      <c r="G143" s="42" t="s">
        <v>98</v>
      </c>
      <c r="H143" s="10" t="s">
        <v>389</v>
      </c>
      <c r="I143" s="1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22.5" customHeight="1">
      <c r="A144" s="16" t="s">
        <v>390</v>
      </c>
      <c r="B144" s="83" t="s">
        <v>391</v>
      </c>
      <c r="C144" s="16"/>
      <c r="D144" s="16"/>
      <c r="E144" s="84" t="s">
        <v>70</v>
      </c>
      <c r="F144" s="75" t="s">
        <v>12</v>
      </c>
      <c r="G144" s="90"/>
      <c r="H144" s="16"/>
      <c r="I144" s="1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22.5" customHeight="1">
      <c r="A145" s="16" t="s">
        <v>392</v>
      </c>
      <c r="B145" s="83" t="s">
        <v>393</v>
      </c>
      <c r="C145" s="16">
        <v>3.0</v>
      </c>
      <c r="D145" s="16" t="str">
        <f t="shared" ref="D145:D147" si="21">REPT("★",C145) &amp; REPT("☆",5-C145)</f>
        <v>★★★☆☆</v>
      </c>
      <c r="E145" s="84" t="s">
        <v>70</v>
      </c>
      <c r="F145" s="75" t="s">
        <v>12</v>
      </c>
      <c r="G145" s="85" t="s">
        <v>98</v>
      </c>
      <c r="H145" s="16"/>
      <c r="I145" s="1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22.5" customHeight="1">
      <c r="A146" s="16" t="s">
        <v>394</v>
      </c>
      <c r="B146" s="83" t="s">
        <v>395</v>
      </c>
      <c r="C146" s="16">
        <v>2.0</v>
      </c>
      <c r="D146" s="16" t="str">
        <f t="shared" si="21"/>
        <v>★★☆☆☆</v>
      </c>
      <c r="E146" s="84"/>
      <c r="F146" s="75" t="s">
        <v>12</v>
      </c>
      <c r="G146" s="85" t="s">
        <v>98</v>
      </c>
      <c r="H146" s="16"/>
      <c r="I146" s="1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22.5" customHeight="1">
      <c r="A147" s="16" t="s">
        <v>396</v>
      </c>
      <c r="B147" s="83" t="s">
        <v>397</v>
      </c>
      <c r="C147" s="16">
        <v>3.0</v>
      </c>
      <c r="D147" s="16" t="str">
        <f t="shared" si="21"/>
        <v>★★★☆☆</v>
      </c>
      <c r="E147" s="84" t="s">
        <v>27</v>
      </c>
      <c r="F147" s="75" t="s">
        <v>12</v>
      </c>
      <c r="G147" s="85" t="s">
        <v>98</v>
      </c>
      <c r="H147" s="16" t="s">
        <v>398</v>
      </c>
      <c r="I147" s="1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22.5" customHeight="1">
      <c r="A148" s="16" t="s">
        <v>399</v>
      </c>
      <c r="B148" s="83" t="s">
        <v>400</v>
      </c>
      <c r="C148" s="16"/>
      <c r="D148" s="16"/>
      <c r="E148" s="84" t="s">
        <v>70</v>
      </c>
      <c r="F148" s="75" t="s">
        <v>401</v>
      </c>
      <c r="G148" s="90" t="s">
        <v>402</v>
      </c>
      <c r="H148" s="16"/>
      <c r="I148" s="1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22.5" customHeight="1">
      <c r="A149" s="16" t="s">
        <v>403</v>
      </c>
      <c r="B149" s="83" t="s">
        <v>404</v>
      </c>
      <c r="C149" s="16"/>
      <c r="D149" s="16"/>
      <c r="E149" s="84" t="s">
        <v>70</v>
      </c>
      <c r="F149" s="75" t="s">
        <v>401</v>
      </c>
      <c r="G149" s="90" t="s">
        <v>405</v>
      </c>
      <c r="H149" s="16"/>
      <c r="I149" s="1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22.5" customHeight="1">
      <c r="A150" s="16" t="s">
        <v>406</v>
      </c>
      <c r="B150" s="83" t="s">
        <v>407</v>
      </c>
      <c r="C150" s="16"/>
      <c r="D150" s="16"/>
      <c r="E150" s="84" t="s">
        <v>408</v>
      </c>
      <c r="F150" s="75" t="s">
        <v>401</v>
      </c>
      <c r="G150" s="90" t="s">
        <v>194</v>
      </c>
      <c r="H150" s="16"/>
      <c r="I150" s="1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22.5" customHeight="1">
      <c r="A151" s="16" t="s">
        <v>409</v>
      </c>
      <c r="B151" s="83" t="s">
        <v>410</v>
      </c>
      <c r="C151" s="16"/>
      <c r="D151" s="16"/>
      <c r="E151" s="84" t="s">
        <v>70</v>
      </c>
      <c r="F151" s="75" t="s">
        <v>401</v>
      </c>
      <c r="G151" s="90" t="s">
        <v>402</v>
      </c>
      <c r="H151" s="16"/>
      <c r="I151" s="1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22.5" customHeight="1">
      <c r="A152" s="16" t="s">
        <v>411</v>
      </c>
      <c r="B152" s="83" t="s">
        <v>410</v>
      </c>
      <c r="C152" s="16"/>
      <c r="D152" s="16"/>
      <c r="E152" s="84" t="s">
        <v>70</v>
      </c>
      <c r="F152" s="75" t="s">
        <v>401</v>
      </c>
      <c r="G152" s="90" t="s">
        <v>402</v>
      </c>
      <c r="H152" s="16"/>
      <c r="I152" s="1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22.5" customHeight="1">
      <c r="A153" s="16" t="s">
        <v>412</v>
      </c>
      <c r="B153" s="83" t="s">
        <v>413</v>
      </c>
      <c r="C153" s="16"/>
      <c r="D153" s="16"/>
      <c r="E153" s="84"/>
      <c r="F153" s="75" t="s">
        <v>401</v>
      </c>
      <c r="G153" s="90" t="s">
        <v>194</v>
      </c>
      <c r="H153" s="16"/>
      <c r="I153" s="1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22.5" customHeight="1">
      <c r="A154" s="16" t="s">
        <v>414</v>
      </c>
      <c r="B154" s="83" t="s">
        <v>415</v>
      </c>
      <c r="C154" s="16"/>
      <c r="D154" s="16"/>
      <c r="E154" s="84"/>
      <c r="F154" s="75" t="s">
        <v>401</v>
      </c>
      <c r="G154" s="90" t="s">
        <v>194</v>
      </c>
      <c r="H154" s="16"/>
      <c r="I154" s="1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22.5" customHeight="1">
      <c r="A155" s="16" t="s">
        <v>416</v>
      </c>
      <c r="B155" s="83" t="s">
        <v>417</v>
      </c>
      <c r="C155" s="16"/>
      <c r="D155" s="16"/>
      <c r="E155" s="84" t="s">
        <v>70</v>
      </c>
      <c r="F155" s="75" t="s">
        <v>401</v>
      </c>
      <c r="G155" s="90" t="s">
        <v>402</v>
      </c>
      <c r="H155" s="16"/>
      <c r="I155" s="1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22.5" customHeight="1">
      <c r="A156" s="16" t="s">
        <v>418</v>
      </c>
      <c r="B156" s="83" t="s">
        <v>419</v>
      </c>
      <c r="C156" s="16"/>
      <c r="D156" s="16"/>
      <c r="E156" s="84" t="s">
        <v>70</v>
      </c>
      <c r="F156" s="75" t="s">
        <v>401</v>
      </c>
      <c r="G156" s="90" t="s">
        <v>405</v>
      </c>
      <c r="H156" s="16"/>
      <c r="I156" s="1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22.5" customHeight="1">
      <c r="A157" s="16" t="s">
        <v>420</v>
      </c>
      <c r="B157" s="16" t="s">
        <v>421</v>
      </c>
      <c r="C157" s="16"/>
      <c r="D157" s="16"/>
      <c r="E157" s="84"/>
      <c r="F157" s="75" t="s">
        <v>401</v>
      </c>
      <c r="G157" s="90" t="s">
        <v>194</v>
      </c>
      <c r="H157" s="16"/>
      <c r="I157" s="1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22.5" customHeight="1">
      <c r="A158" s="16" t="s">
        <v>422</v>
      </c>
      <c r="B158" s="83" t="s">
        <v>423</v>
      </c>
      <c r="C158" s="16"/>
      <c r="D158" s="16"/>
      <c r="E158" s="84"/>
      <c r="F158" s="75" t="s">
        <v>401</v>
      </c>
      <c r="G158" s="90" t="s">
        <v>194</v>
      </c>
      <c r="H158" s="16"/>
      <c r="I158" s="1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22.5" customHeight="1">
      <c r="A159" s="16" t="s">
        <v>424</v>
      </c>
      <c r="B159" s="83" t="s">
        <v>425</v>
      </c>
      <c r="C159" s="16"/>
      <c r="D159" s="16"/>
      <c r="E159" s="84" t="s">
        <v>408</v>
      </c>
      <c r="F159" s="75" t="s">
        <v>401</v>
      </c>
      <c r="G159" s="90" t="s">
        <v>194</v>
      </c>
      <c r="H159" s="16"/>
      <c r="I159" s="1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22.5" customHeight="1">
      <c r="A160" s="16" t="s">
        <v>426</v>
      </c>
      <c r="B160" s="83" t="s">
        <v>427</v>
      </c>
      <c r="C160" s="16"/>
      <c r="D160" s="16"/>
      <c r="E160" s="84" t="s">
        <v>70</v>
      </c>
      <c r="F160" s="75" t="s">
        <v>401</v>
      </c>
      <c r="G160" s="90" t="s">
        <v>402</v>
      </c>
      <c r="H160" s="16"/>
      <c r="I160" s="1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22.5" customHeight="1">
      <c r="A161" s="16" t="s">
        <v>428</v>
      </c>
      <c r="B161" s="83" t="s">
        <v>429</v>
      </c>
      <c r="C161" s="16"/>
      <c r="D161" s="16"/>
      <c r="E161" s="84"/>
      <c r="F161" s="75" t="s">
        <v>401</v>
      </c>
      <c r="G161" s="90" t="s">
        <v>194</v>
      </c>
      <c r="H161" s="16"/>
      <c r="I161" s="1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22.5" customHeight="1">
      <c r="A162" s="16" t="s">
        <v>430</v>
      </c>
      <c r="B162" s="83" t="s">
        <v>431</v>
      </c>
      <c r="C162" s="16"/>
      <c r="D162" s="16"/>
      <c r="E162" s="84"/>
      <c r="F162" s="75" t="s">
        <v>401</v>
      </c>
      <c r="G162" s="90" t="s">
        <v>194</v>
      </c>
      <c r="H162" s="16"/>
      <c r="I162" s="1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22.5" customHeight="1">
      <c r="A163" s="16" t="s">
        <v>432</v>
      </c>
      <c r="B163" s="83" t="s">
        <v>433</v>
      </c>
      <c r="C163" s="16"/>
      <c r="D163" s="16"/>
      <c r="E163" s="84"/>
      <c r="F163" s="75" t="s">
        <v>401</v>
      </c>
      <c r="G163" s="90" t="s">
        <v>194</v>
      </c>
      <c r="H163" s="16"/>
      <c r="I163" s="1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22.5" customHeight="1">
      <c r="A164" s="16" t="s">
        <v>434</v>
      </c>
      <c r="B164" s="83" t="s">
        <v>435</v>
      </c>
      <c r="C164" s="16"/>
      <c r="D164" s="16"/>
      <c r="E164" s="84" t="s">
        <v>408</v>
      </c>
      <c r="F164" s="75" t="s">
        <v>401</v>
      </c>
      <c r="G164" s="90" t="s">
        <v>194</v>
      </c>
      <c r="H164" s="16"/>
      <c r="I164" s="1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22.5" customHeight="1">
      <c r="A165" s="16" t="s">
        <v>436</v>
      </c>
      <c r="B165" s="83" t="s">
        <v>437</v>
      </c>
      <c r="C165" s="16"/>
      <c r="D165" s="16"/>
      <c r="E165" s="84" t="s">
        <v>70</v>
      </c>
      <c r="F165" s="75" t="s">
        <v>401</v>
      </c>
      <c r="G165" s="90" t="s">
        <v>402</v>
      </c>
      <c r="H165" s="16"/>
      <c r="I165" s="1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22.5" customHeight="1">
      <c r="A166" s="16" t="s">
        <v>438</v>
      </c>
      <c r="B166" s="83" t="s">
        <v>439</v>
      </c>
      <c r="C166" s="16"/>
      <c r="D166" s="16"/>
      <c r="E166" s="84" t="s">
        <v>70</v>
      </c>
      <c r="F166" s="75" t="s">
        <v>401</v>
      </c>
      <c r="G166" s="90" t="s">
        <v>402</v>
      </c>
      <c r="H166" s="16"/>
      <c r="I166" s="1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22.5" customHeight="1">
      <c r="A167" s="16" t="s">
        <v>440</v>
      </c>
      <c r="B167" s="83" t="s">
        <v>441</v>
      </c>
      <c r="C167" s="16"/>
      <c r="D167" s="16"/>
      <c r="E167" s="84" t="s">
        <v>70</v>
      </c>
      <c r="F167" s="75" t="s">
        <v>401</v>
      </c>
      <c r="G167" s="90" t="s">
        <v>402</v>
      </c>
      <c r="H167" s="16"/>
      <c r="I167" s="1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22.5" customHeight="1">
      <c r="A168" s="16" t="s">
        <v>442</v>
      </c>
      <c r="B168" s="16" t="s">
        <v>443</v>
      </c>
      <c r="C168" s="16"/>
      <c r="D168" s="16"/>
      <c r="E168" s="84"/>
      <c r="F168" s="75" t="s">
        <v>401</v>
      </c>
      <c r="G168" s="90" t="s">
        <v>194</v>
      </c>
      <c r="H168" s="16"/>
      <c r="I168" s="1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22.5" customHeight="1">
      <c r="A169" s="16" t="s">
        <v>444</v>
      </c>
      <c r="B169" s="83" t="s">
        <v>445</v>
      </c>
      <c r="C169" s="16"/>
      <c r="D169" s="16"/>
      <c r="E169" s="84"/>
      <c r="F169" s="75" t="s">
        <v>446</v>
      </c>
      <c r="G169" s="90"/>
      <c r="H169" s="16"/>
      <c r="I169" s="1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22.5" customHeight="1">
      <c r="A170" s="16" t="s">
        <v>447</v>
      </c>
      <c r="B170" s="83" t="s">
        <v>448</v>
      </c>
      <c r="C170" s="16"/>
      <c r="D170" s="16"/>
      <c r="E170" s="84"/>
      <c r="F170" s="75" t="s">
        <v>446</v>
      </c>
      <c r="G170" s="90"/>
      <c r="H170" s="16"/>
      <c r="I170" s="1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22.5" customHeight="1">
      <c r="A171" s="16" t="s">
        <v>449</v>
      </c>
      <c r="B171" s="83" t="s">
        <v>450</v>
      </c>
      <c r="C171" s="16"/>
      <c r="D171" s="16"/>
      <c r="E171" s="84"/>
      <c r="F171" s="75" t="s">
        <v>446</v>
      </c>
      <c r="G171" s="90"/>
      <c r="H171" s="16"/>
      <c r="I171" s="1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22.5" customHeight="1">
      <c r="A172" s="16" t="s">
        <v>451</v>
      </c>
      <c r="B172" s="83" t="s">
        <v>452</v>
      </c>
      <c r="C172" s="16"/>
      <c r="D172" s="16"/>
      <c r="E172" s="84"/>
      <c r="F172" s="75" t="s">
        <v>446</v>
      </c>
      <c r="G172" s="90"/>
      <c r="H172" s="16"/>
      <c r="I172" s="1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22.5" customHeight="1">
      <c r="A173" s="16" t="s">
        <v>453</v>
      </c>
      <c r="B173" s="83" t="s">
        <v>454</v>
      </c>
      <c r="C173" s="16"/>
      <c r="D173" s="16"/>
      <c r="E173" s="84" t="s">
        <v>408</v>
      </c>
      <c r="F173" s="75" t="s">
        <v>446</v>
      </c>
      <c r="G173" s="90" t="s">
        <v>194</v>
      </c>
      <c r="H173" s="16"/>
      <c r="I173" s="1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22.5" customHeight="1">
      <c r="A174" s="16" t="s">
        <v>455</v>
      </c>
      <c r="B174" s="83" t="s">
        <v>456</v>
      </c>
      <c r="C174" s="16"/>
      <c r="D174" s="16"/>
      <c r="E174" s="84"/>
      <c r="F174" s="75" t="s">
        <v>446</v>
      </c>
      <c r="G174" s="90"/>
      <c r="H174" s="16"/>
      <c r="I174" s="1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22.5" customHeight="1">
      <c r="A175" s="16" t="s">
        <v>457</v>
      </c>
      <c r="B175" s="83" t="s">
        <v>458</v>
      </c>
      <c r="C175" s="16"/>
      <c r="D175" s="16"/>
      <c r="E175" s="84"/>
      <c r="F175" s="75" t="s">
        <v>446</v>
      </c>
      <c r="G175" s="90"/>
      <c r="H175" s="16"/>
      <c r="I175" s="1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22.5" customHeight="1">
      <c r="A176" s="16" t="s">
        <v>459</v>
      </c>
      <c r="B176" s="83" t="s">
        <v>460</v>
      </c>
      <c r="C176" s="16"/>
      <c r="D176" s="16"/>
      <c r="E176" s="84" t="s">
        <v>408</v>
      </c>
      <c r="F176" s="75" t="s">
        <v>446</v>
      </c>
      <c r="G176" s="90" t="s">
        <v>194</v>
      </c>
      <c r="H176" s="16"/>
      <c r="I176" s="1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22.5" customHeight="1">
      <c r="A177" s="16" t="s">
        <v>461</v>
      </c>
      <c r="B177" s="83" t="s">
        <v>462</v>
      </c>
      <c r="C177" s="16"/>
      <c r="D177" s="16"/>
      <c r="E177" s="84"/>
      <c r="F177" s="75" t="s">
        <v>446</v>
      </c>
      <c r="G177" s="90"/>
      <c r="H177" s="16"/>
      <c r="I177" s="1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22.5" customHeight="1">
      <c r="A178" s="16" t="s">
        <v>463</v>
      </c>
      <c r="B178" s="83" t="s">
        <v>464</v>
      </c>
      <c r="C178" s="16"/>
      <c r="D178" s="16"/>
      <c r="E178" s="84" t="s">
        <v>408</v>
      </c>
      <c r="F178" s="75" t="s">
        <v>446</v>
      </c>
      <c r="G178" s="90" t="s">
        <v>194</v>
      </c>
      <c r="H178" s="16"/>
      <c r="I178" s="1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22.5" customHeight="1">
      <c r="A179" s="16" t="s">
        <v>465</v>
      </c>
      <c r="B179" s="16" t="s">
        <v>466</v>
      </c>
      <c r="C179" s="16"/>
      <c r="D179" s="16"/>
      <c r="E179" s="84"/>
      <c r="F179" s="75" t="s">
        <v>446</v>
      </c>
      <c r="G179" s="90"/>
      <c r="H179" s="16"/>
      <c r="I179" s="1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22.5" customHeight="1">
      <c r="A180" s="16" t="s">
        <v>467</v>
      </c>
      <c r="B180" s="83" t="s">
        <v>468</v>
      </c>
      <c r="C180" s="16"/>
      <c r="D180" s="16"/>
      <c r="E180" s="84"/>
      <c r="F180" s="75" t="s">
        <v>446</v>
      </c>
      <c r="G180" s="90"/>
      <c r="H180" s="16"/>
      <c r="I180" s="1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22.5" customHeight="1">
      <c r="A181" s="16" t="s">
        <v>469</v>
      </c>
      <c r="B181" s="83" t="s">
        <v>470</v>
      </c>
      <c r="C181" s="16"/>
      <c r="D181" s="16"/>
      <c r="E181" s="84" t="s">
        <v>408</v>
      </c>
      <c r="F181" s="75" t="s">
        <v>446</v>
      </c>
      <c r="G181" s="90" t="s">
        <v>194</v>
      </c>
      <c r="H181" s="16"/>
      <c r="I181" s="1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22.5" customHeight="1">
      <c r="A182" s="16" t="s">
        <v>471</v>
      </c>
      <c r="B182" s="83" t="s">
        <v>472</v>
      </c>
      <c r="C182" s="16"/>
      <c r="D182" s="16"/>
      <c r="E182" s="84" t="s">
        <v>408</v>
      </c>
      <c r="F182" s="75" t="s">
        <v>446</v>
      </c>
      <c r="G182" s="90" t="s">
        <v>194</v>
      </c>
      <c r="H182" s="16"/>
      <c r="I182" s="1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22.5" customHeight="1">
      <c r="A183" s="16" t="s">
        <v>473</v>
      </c>
      <c r="B183" s="83" t="s">
        <v>474</v>
      </c>
      <c r="C183" s="16"/>
      <c r="D183" s="16"/>
      <c r="E183" s="84"/>
      <c r="F183" s="75" t="s">
        <v>446</v>
      </c>
      <c r="G183" s="90"/>
      <c r="H183" s="16"/>
      <c r="I183" s="1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22.5" customHeight="1">
      <c r="A184" s="16" t="s">
        <v>475</v>
      </c>
      <c r="B184" s="83" t="s">
        <v>476</v>
      </c>
      <c r="C184" s="16"/>
      <c r="D184" s="16"/>
      <c r="E184" s="84"/>
      <c r="F184" s="75" t="s">
        <v>446</v>
      </c>
      <c r="G184" s="90"/>
      <c r="H184" s="16"/>
      <c r="I184" s="1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22.5" customHeight="1">
      <c r="A185" s="16" t="s">
        <v>477</v>
      </c>
      <c r="B185" s="83" t="s">
        <v>478</v>
      </c>
      <c r="C185" s="16"/>
      <c r="D185" s="16"/>
      <c r="E185" s="84"/>
      <c r="F185" s="75" t="s">
        <v>446</v>
      </c>
      <c r="G185" s="90"/>
      <c r="H185" s="16"/>
      <c r="I185" s="1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22.5" customHeight="1">
      <c r="A186" s="16" t="s">
        <v>479</v>
      </c>
      <c r="B186" s="83" t="s">
        <v>480</v>
      </c>
      <c r="C186" s="16"/>
      <c r="D186" s="16"/>
      <c r="E186" s="84"/>
      <c r="F186" s="75" t="s">
        <v>446</v>
      </c>
      <c r="G186" s="90"/>
      <c r="H186" s="16"/>
      <c r="I186" s="1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22.5" customHeight="1">
      <c r="A187" s="16" t="s">
        <v>481</v>
      </c>
      <c r="B187" s="83" t="s">
        <v>482</v>
      </c>
      <c r="C187" s="16"/>
      <c r="D187" s="16"/>
      <c r="E187" s="84" t="s">
        <v>408</v>
      </c>
      <c r="F187" s="75" t="s">
        <v>446</v>
      </c>
      <c r="G187" s="90" t="s">
        <v>194</v>
      </c>
      <c r="H187" s="16"/>
      <c r="I187" s="1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22.5" customHeight="1">
      <c r="A188" s="16" t="s">
        <v>483</v>
      </c>
      <c r="B188" s="83" t="s">
        <v>484</v>
      </c>
      <c r="C188" s="16"/>
      <c r="D188" s="16"/>
      <c r="E188" s="84"/>
      <c r="F188" s="75" t="s">
        <v>446</v>
      </c>
      <c r="G188" s="90"/>
      <c r="H188" s="16"/>
      <c r="I188" s="1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22.5" customHeight="1">
      <c r="A189" s="16" t="s">
        <v>485</v>
      </c>
      <c r="B189" s="83" t="s">
        <v>486</v>
      </c>
      <c r="C189" s="16"/>
      <c r="D189" s="16"/>
      <c r="E189" s="84"/>
      <c r="F189" s="75" t="s">
        <v>446</v>
      </c>
      <c r="G189" s="90"/>
      <c r="H189" s="16"/>
      <c r="I189" s="1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22.5" customHeight="1">
      <c r="A190" s="16" t="s">
        <v>487</v>
      </c>
      <c r="B190" s="83" t="s">
        <v>488</v>
      </c>
      <c r="C190" s="16"/>
      <c r="D190" s="16"/>
      <c r="E190" s="84"/>
      <c r="F190" s="75" t="s">
        <v>446</v>
      </c>
      <c r="G190" s="90"/>
      <c r="H190" s="16"/>
      <c r="I190" s="1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22.5" customHeight="1">
      <c r="A191" s="16" t="s">
        <v>489</v>
      </c>
      <c r="B191" s="83" t="s">
        <v>490</v>
      </c>
      <c r="C191" s="16"/>
      <c r="D191" s="16"/>
      <c r="E191" s="84"/>
      <c r="F191" s="75" t="s">
        <v>446</v>
      </c>
      <c r="G191" s="90"/>
      <c r="H191" s="16"/>
      <c r="I191" s="1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22.5" customHeight="1">
      <c r="A192" s="16" t="s">
        <v>489</v>
      </c>
      <c r="B192" s="83" t="s">
        <v>491</v>
      </c>
      <c r="C192" s="16"/>
      <c r="D192" s="16"/>
      <c r="E192" s="84"/>
      <c r="F192" s="75" t="s">
        <v>446</v>
      </c>
      <c r="G192" s="90"/>
      <c r="H192" s="16"/>
      <c r="I192" s="1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22.5" customHeight="1">
      <c r="A193" s="16" t="s">
        <v>492</v>
      </c>
      <c r="B193" s="83" t="s">
        <v>493</v>
      </c>
      <c r="C193" s="16"/>
      <c r="D193" s="16"/>
      <c r="E193" s="84"/>
      <c r="F193" s="75" t="s">
        <v>446</v>
      </c>
      <c r="G193" s="90"/>
      <c r="H193" s="16"/>
      <c r="I193" s="1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22.5" customHeight="1">
      <c r="A194" s="16" t="s">
        <v>494</v>
      </c>
      <c r="B194" s="83" t="s">
        <v>495</v>
      </c>
      <c r="C194" s="16"/>
      <c r="D194" s="16"/>
      <c r="E194" s="84"/>
      <c r="F194" s="75" t="s">
        <v>446</v>
      </c>
      <c r="G194" s="90"/>
      <c r="H194" s="16"/>
      <c r="I194" s="1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22.5" customHeight="1">
      <c r="A195" s="16" t="s">
        <v>496</v>
      </c>
      <c r="B195" s="83" t="s">
        <v>497</v>
      </c>
      <c r="C195" s="16"/>
      <c r="D195" s="16"/>
      <c r="E195" s="84"/>
      <c r="F195" s="75" t="s">
        <v>446</v>
      </c>
      <c r="G195" s="90"/>
      <c r="H195" s="16"/>
      <c r="I195" s="1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22.5" customHeight="1">
      <c r="A196" s="16" t="s">
        <v>498</v>
      </c>
      <c r="B196" s="83" t="s">
        <v>499</v>
      </c>
      <c r="C196" s="16"/>
      <c r="D196" s="16"/>
      <c r="E196" s="84"/>
      <c r="F196" s="75" t="s">
        <v>446</v>
      </c>
      <c r="G196" s="90"/>
      <c r="H196" s="16"/>
      <c r="I196" s="1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22.5" customHeight="1">
      <c r="A197" s="16" t="s">
        <v>500</v>
      </c>
      <c r="B197" s="83" t="s">
        <v>501</v>
      </c>
      <c r="C197" s="16"/>
      <c r="D197" s="16"/>
      <c r="E197" s="84"/>
      <c r="F197" s="75" t="s">
        <v>446</v>
      </c>
      <c r="G197" s="90"/>
      <c r="H197" s="16"/>
      <c r="I197" s="1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22.5" customHeight="1">
      <c r="A198" s="16" t="s">
        <v>502</v>
      </c>
      <c r="B198" s="83" t="s">
        <v>503</v>
      </c>
      <c r="C198" s="16"/>
      <c r="D198" s="16"/>
      <c r="E198" s="84"/>
      <c r="F198" s="75" t="s">
        <v>446</v>
      </c>
      <c r="G198" s="90"/>
      <c r="H198" s="16"/>
      <c r="I198" s="1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22.5" customHeight="1">
      <c r="A199" s="16" t="s">
        <v>504</v>
      </c>
      <c r="B199" s="83" t="s">
        <v>505</v>
      </c>
      <c r="C199" s="16"/>
      <c r="D199" s="16"/>
      <c r="E199" s="84"/>
      <c r="F199" s="75" t="s">
        <v>446</v>
      </c>
      <c r="G199" s="90"/>
      <c r="H199" s="16"/>
      <c r="I199" s="1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22.5" customHeight="1">
      <c r="A200" s="16" t="s">
        <v>506</v>
      </c>
      <c r="B200" s="83" t="s">
        <v>507</v>
      </c>
      <c r="C200" s="16"/>
      <c r="D200" s="16"/>
      <c r="E200" s="84"/>
      <c r="F200" s="75" t="s">
        <v>446</v>
      </c>
      <c r="G200" s="90"/>
      <c r="H200" s="16"/>
      <c r="I200" s="1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22.5" customHeight="1">
      <c r="A201" s="16" t="s">
        <v>508</v>
      </c>
      <c r="B201" s="83" t="s">
        <v>509</v>
      </c>
      <c r="C201" s="16"/>
      <c r="D201" s="16"/>
      <c r="E201" s="84" t="s">
        <v>408</v>
      </c>
      <c r="F201" s="75" t="s">
        <v>510</v>
      </c>
      <c r="G201" s="90" t="s">
        <v>194</v>
      </c>
      <c r="H201" s="16"/>
      <c r="I201" s="1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22.5" customHeight="1">
      <c r="A202" s="93" t="s">
        <v>511</v>
      </c>
      <c r="B202" s="83" t="s">
        <v>512</v>
      </c>
      <c r="C202" s="16"/>
      <c r="D202" s="16"/>
      <c r="E202" s="84"/>
      <c r="F202" s="75" t="s">
        <v>510</v>
      </c>
      <c r="G202" s="90"/>
      <c r="H202" s="16"/>
      <c r="I202" s="1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22.5" customHeight="1">
      <c r="A203" s="93" t="s">
        <v>513</v>
      </c>
      <c r="B203" s="83" t="s">
        <v>514</v>
      </c>
      <c r="C203" s="16"/>
      <c r="D203" s="16"/>
      <c r="E203" s="84"/>
      <c r="F203" s="75" t="s">
        <v>510</v>
      </c>
      <c r="G203" s="90"/>
      <c r="H203" s="16"/>
      <c r="I203" s="1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22.5" customHeight="1">
      <c r="A204" s="16" t="s">
        <v>515</v>
      </c>
      <c r="B204" s="83" t="s">
        <v>516</v>
      </c>
      <c r="C204" s="16"/>
      <c r="D204" s="16"/>
      <c r="E204" s="84"/>
      <c r="F204" s="75" t="s">
        <v>510</v>
      </c>
      <c r="G204" s="90" t="s">
        <v>194</v>
      </c>
      <c r="H204" s="16"/>
      <c r="I204" s="1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22.5" customHeight="1">
      <c r="A205" s="16" t="s">
        <v>517</v>
      </c>
      <c r="B205" s="83" t="s">
        <v>518</v>
      </c>
      <c r="C205" s="16"/>
      <c r="D205" s="16"/>
      <c r="E205" s="84"/>
      <c r="F205" s="75" t="s">
        <v>510</v>
      </c>
      <c r="G205" s="90" t="s">
        <v>194</v>
      </c>
      <c r="H205" s="16"/>
      <c r="I205" s="1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22.5" customHeight="1">
      <c r="A206" s="94" t="s">
        <v>519</v>
      </c>
      <c r="B206" s="83" t="s">
        <v>520</v>
      </c>
      <c r="C206" s="16"/>
      <c r="D206" s="16"/>
      <c r="E206" s="84"/>
      <c r="F206" s="75" t="s">
        <v>521</v>
      </c>
      <c r="G206" s="90" t="s">
        <v>194</v>
      </c>
      <c r="H206" s="16"/>
      <c r="I206" s="1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22.5" customHeight="1">
      <c r="A207" s="94" t="s">
        <v>522</v>
      </c>
      <c r="B207" s="83" t="s">
        <v>523</v>
      </c>
      <c r="C207" s="16"/>
      <c r="D207" s="16"/>
      <c r="E207" s="84"/>
      <c r="F207" s="75" t="s">
        <v>521</v>
      </c>
      <c r="G207" s="90" t="s">
        <v>194</v>
      </c>
      <c r="H207" s="16"/>
      <c r="I207" s="1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22.5" customHeight="1">
      <c r="A208" s="16" t="s">
        <v>524</v>
      </c>
      <c r="B208" s="83" t="s">
        <v>525</v>
      </c>
      <c r="C208" s="16"/>
      <c r="D208" s="16"/>
      <c r="E208" s="84"/>
      <c r="F208" s="75" t="s">
        <v>521</v>
      </c>
      <c r="G208" s="90" t="s">
        <v>194</v>
      </c>
      <c r="H208" s="16"/>
      <c r="I208" s="1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22.5" customHeight="1">
      <c r="A209" s="94" t="s">
        <v>526</v>
      </c>
      <c r="B209" s="83" t="s">
        <v>527</v>
      </c>
      <c r="C209" s="16"/>
      <c r="D209" s="16"/>
      <c r="E209" s="84"/>
      <c r="F209" s="75" t="s">
        <v>521</v>
      </c>
      <c r="G209" s="90" t="s">
        <v>194</v>
      </c>
      <c r="H209" s="16"/>
      <c r="I209" s="1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22.5" customHeight="1">
      <c r="A210" s="94" t="s">
        <v>528</v>
      </c>
      <c r="B210" s="83" t="s">
        <v>529</v>
      </c>
      <c r="C210" s="16"/>
      <c r="D210" s="16"/>
      <c r="E210" s="84"/>
      <c r="F210" s="75" t="s">
        <v>521</v>
      </c>
      <c r="G210" s="90" t="s">
        <v>194</v>
      </c>
      <c r="H210" s="16"/>
      <c r="I210" s="1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22.5" customHeight="1">
      <c r="A211" s="16" t="s">
        <v>530</v>
      </c>
      <c r="B211" s="83" t="s">
        <v>531</v>
      </c>
      <c r="C211" s="16"/>
      <c r="D211" s="16"/>
      <c r="E211" s="84"/>
      <c r="F211" s="75" t="s">
        <v>521</v>
      </c>
      <c r="G211" s="90" t="s">
        <v>194</v>
      </c>
      <c r="H211" s="16"/>
      <c r="I211" s="1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22.5" customHeight="1">
      <c r="A212" s="94" t="s">
        <v>532</v>
      </c>
      <c r="B212" s="83" t="s">
        <v>533</v>
      </c>
      <c r="C212" s="16"/>
      <c r="D212" s="16"/>
      <c r="E212" s="84"/>
      <c r="F212" s="75" t="s">
        <v>521</v>
      </c>
      <c r="G212" s="90" t="s">
        <v>194</v>
      </c>
      <c r="H212" s="16"/>
      <c r="I212" s="1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22.5" customHeight="1">
      <c r="A213" s="94" t="s">
        <v>534</v>
      </c>
      <c r="B213" s="83" t="s">
        <v>535</v>
      </c>
      <c r="C213" s="16"/>
      <c r="D213" s="16"/>
      <c r="E213" s="84"/>
      <c r="F213" s="75" t="s">
        <v>521</v>
      </c>
      <c r="G213" s="90" t="s">
        <v>194</v>
      </c>
      <c r="H213" s="16"/>
      <c r="I213" s="1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22.5" customHeight="1">
      <c r="A214" s="94" t="s">
        <v>536</v>
      </c>
      <c r="B214" s="83" t="s">
        <v>537</v>
      </c>
      <c r="C214" s="16"/>
      <c r="D214" s="16"/>
      <c r="E214" s="84"/>
      <c r="F214" s="75" t="s">
        <v>521</v>
      </c>
      <c r="G214" s="90" t="s">
        <v>194</v>
      </c>
      <c r="H214" s="16"/>
      <c r="I214" s="1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22.5" customHeight="1">
      <c r="A215" s="94" t="s">
        <v>538</v>
      </c>
      <c r="B215" s="83" t="s">
        <v>539</v>
      </c>
      <c r="C215" s="16"/>
      <c r="D215" s="16"/>
      <c r="E215" s="84"/>
      <c r="F215" s="75" t="s">
        <v>521</v>
      </c>
      <c r="G215" s="90" t="s">
        <v>194</v>
      </c>
      <c r="H215" s="16"/>
      <c r="I215" s="1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22.5" customHeight="1">
      <c r="A216" s="94" t="s">
        <v>540</v>
      </c>
      <c r="B216" s="83" t="s">
        <v>541</v>
      </c>
      <c r="C216" s="16"/>
      <c r="D216" s="16"/>
      <c r="E216" s="84"/>
      <c r="F216" s="75" t="s">
        <v>521</v>
      </c>
      <c r="G216" s="90" t="s">
        <v>194</v>
      </c>
      <c r="H216" s="16"/>
      <c r="I216" s="1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22.5" customHeight="1">
      <c r="A217" s="94" t="s">
        <v>542</v>
      </c>
      <c r="B217" s="83" t="s">
        <v>543</v>
      </c>
      <c r="C217" s="16"/>
      <c r="D217" s="16"/>
      <c r="E217" s="84"/>
      <c r="F217" s="75" t="s">
        <v>521</v>
      </c>
      <c r="G217" s="90" t="s">
        <v>194</v>
      </c>
      <c r="H217" s="16"/>
      <c r="I217" s="1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22.5" customHeight="1">
      <c r="A218" s="94" t="s">
        <v>544</v>
      </c>
      <c r="B218" s="83" t="s">
        <v>545</v>
      </c>
      <c r="C218" s="16"/>
      <c r="D218" s="16"/>
      <c r="E218" s="84"/>
      <c r="F218" s="75" t="s">
        <v>521</v>
      </c>
      <c r="G218" s="90" t="s">
        <v>194</v>
      </c>
      <c r="H218" s="16"/>
      <c r="I218" s="1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22.5" customHeight="1">
      <c r="A219" s="16" t="s">
        <v>546</v>
      </c>
      <c r="B219" s="83" t="s">
        <v>547</v>
      </c>
      <c r="C219" s="16"/>
      <c r="D219" s="16"/>
      <c r="E219" s="84"/>
      <c r="F219" s="75" t="s">
        <v>521</v>
      </c>
      <c r="G219" s="90" t="s">
        <v>194</v>
      </c>
      <c r="H219" s="16"/>
      <c r="I219" s="1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22.5" customHeight="1">
      <c r="A220" s="94" t="s">
        <v>548</v>
      </c>
      <c r="B220" s="83" t="s">
        <v>549</v>
      </c>
      <c r="C220" s="16"/>
      <c r="D220" s="16"/>
      <c r="E220" s="84"/>
      <c r="F220" s="75" t="s">
        <v>521</v>
      </c>
      <c r="G220" s="90" t="s">
        <v>194</v>
      </c>
      <c r="H220" s="16"/>
      <c r="I220" s="1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22.5" customHeight="1">
      <c r="A221" s="16" t="s">
        <v>550</v>
      </c>
      <c r="B221" s="16" t="s">
        <v>551</v>
      </c>
      <c r="C221" s="16"/>
      <c r="D221" s="16"/>
      <c r="E221" s="84"/>
      <c r="F221" s="75" t="s">
        <v>552</v>
      </c>
      <c r="G221" s="90" t="s">
        <v>194</v>
      </c>
      <c r="H221" s="16"/>
      <c r="I221" s="1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22.5" customHeight="1">
      <c r="A222" s="94" t="s">
        <v>553</v>
      </c>
      <c r="B222" s="83" t="s">
        <v>554</v>
      </c>
      <c r="C222" s="16"/>
      <c r="D222" s="16"/>
      <c r="E222" s="84"/>
      <c r="F222" s="75" t="s">
        <v>552</v>
      </c>
      <c r="G222" s="90" t="s">
        <v>194</v>
      </c>
      <c r="H222" s="16"/>
      <c r="I222" s="1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22.5" customHeight="1">
      <c r="A223" s="16" t="s">
        <v>555</v>
      </c>
      <c r="B223" s="83" t="s">
        <v>556</v>
      </c>
      <c r="C223" s="16"/>
      <c r="D223" s="16"/>
      <c r="E223" s="84"/>
      <c r="F223" s="75" t="s">
        <v>557</v>
      </c>
      <c r="G223" s="90" t="s">
        <v>194</v>
      </c>
      <c r="H223" s="16"/>
      <c r="I223" s="1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22.5" customHeight="1">
      <c r="A224" s="16" t="s">
        <v>558</v>
      </c>
      <c r="B224" s="83" t="s">
        <v>559</v>
      </c>
      <c r="C224" s="16"/>
      <c r="D224" s="16"/>
      <c r="E224" s="84"/>
      <c r="F224" s="75" t="s">
        <v>557</v>
      </c>
      <c r="G224" s="90" t="s">
        <v>194</v>
      </c>
      <c r="H224" s="16"/>
      <c r="I224" s="1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22.5" customHeight="1">
      <c r="A225" s="94" t="s">
        <v>560</v>
      </c>
      <c r="B225" s="83" t="s">
        <v>561</v>
      </c>
      <c r="C225" s="16"/>
      <c r="D225" s="16"/>
      <c r="E225" s="84"/>
      <c r="F225" s="75" t="s">
        <v>557</v>
      </c>
      <c r="G225" s="90" t="s">
        <v>194</v>
      </c>
      <c r="H225" s="16"/>
      <c r="I225" s="1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22.5" customHeight="1">
      <c r="A226" s="16" t="s">
        <v>562</v>
      </c>
      <c r="B226" s="83" t="s">
        <v>563</v>
      </c>
      <c r="C226" s="16"/>
      <c r="D226" s="16"/>
      <c r="E226" s="84"/>
      <c r="F226" s="75" t="s">
        <v>557</v>
      </c>
      <c r="G226" s="90" t="s">
        <v>194</v>
      </c>
      <c r="H226" s="16"/>
      <c r="I226" s="1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22.5" customHeight="1">
      <c r="A227" s="16" t="s">
        <v>564</v>
      </c>
      <c r="B227" s="83" t="s">
        <v>565</v>
      </c>
      <c r="C227" s="16"/>
      <c r="D227" s="16"/>
      <c r="E227" s="84"/>
      <c r="F227" s="75" t="s">
        <v>557</v>
      </c>
      <c r="G227" s="90" t="s">
        <v>194</v>
      </c>
      <c r="H227" s="16"/>
      <c r="I227" s="1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22.5" customHeight="1">
      <c r="A228" s="16" t="s">
        <v>566</v>
      </c>
      <c r="B228" s="83" t="s">
        <v>567</v>
      </c>
      <c r="C228" s="16"/>
      <c r="D228" s="16"/>
      <c r="E228" s="84"/>
      <c r="F228" s="75" t="s">
        <v>557</v>
      </c>
      <c r="G228" s="90" t="s">
        <v>194</v>
      </c>
      <c r="H228" s="16"/>
      <c r="I228" s="1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22.5" customHeight="1">
      <c r="A229" s="16" t="s">
        <v>568</v>
      </c>
      <c r="B229" s="83" t="s">
        <v>569</v>
      </c>
      <c r="C229" s="16"/>
      <c r="D229" s="16"/>
      <c r="E229" s="84"/>
      <c r="F229" s="75" t="s">
        <v>570</v>
      </c>
      <c r="G229" s="90"/>
      <c r="H229" s="16"/>
      <c r="I229" s="1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22.5" customHeight="1">
      <c r="A230" s="16" t="s">
        <v>571</v>
      </c>
      <c r="B230" s="83" t="s">
        <v>572</v>
      </c>
      <c r="C230" s="16"/>
      <c r="D230" s="16"/>
      <c r="E230" s="84"/>
      <c r="F230" s="75" t="s">
        <v>570</v>
      </c>
      <c r="G230" s="90"/>
      <c r="H230" s="16"/>
      <c r="I230" s="1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22.5" customHeight="1">
      <c r="A231" s="16" t="s">
        <v>573</v>
      </c>
      <c r="B231" s="83" t="s">
        <v>574</v>
      </c>
      <c r="C231" s="16"/>
      <c r="D231" s="16"/>
      <c r="E231" s="84"/>
      <c r="F231" s="75" t="s">
        <v>570</v>
      </c>
      <c r="G231" s="90"/>
      <c r="H231" s="16"/>
      <c r="I231" s="1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22.5" customHeight="1">
      <c r="A232" s="16" t="s">
        <v>575</v>
      </c>
      <c r="B232" s="83" t="s">
        <v>576</v>
      </c>
      <c r="C232" s="16"/>
      <c r="D232" s="16"/>
      <c r="E232" s="84"/>
      <c r="F232" s="75" t="s">
        <v>570</v>
      </c>
      <c r="G232" s="90"/>
      <c r="H232" s="16"/>
      <c r="I232" s="1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22.5" customHeight="1">
      <c r="A233" s="16" t="s">
        <v>577</v>
      </c>
      <c r="B233" s="83" t="s">
        <v>578</v>
      </c>
      <c r="C233" s="16"/>
      <c r="D233" s="16"/>
      <c r="E233" s="84"/>
      <c r="F233" s="75" t="s">
        <v>570</v>
      </c>
      <c r="G233" s="90"/>
      <c r="H233" s="16"/>
      <c r="I233" s="1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22.5" customHeight="1">
      <c r="A234" s="16" t="s">
        <v>579</v>
      </c>
      <c r="B234" s="83" t="s">
        <v>580</v>
      </c>
      <c r="C234" s="16"/>
      <c r="D234" s="16"/>
      <c r="E234" s="84"/>
      <c r="F234" s="75" t="s">
        <v>570</v>
      </c>
      <c r="G234" s="90"/>
      <c r="H234" s="16"/>
      <c r="I234" s="1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22.5" customHeight="1">
      <c r="A235" s="16" t="s">
        <v>581</v>
      </c>
      <c r="B235" s="83" t="s">
        <v>582</v>
      </c>
      <c r="C235" s="16"/>
      <c r="D235" s="16"/>
      <c r="E235" s="84"/>
      <c r="F235" s="75" t="s">
        <v>570</v>
      </c>
      <c r="G235" s="90"/>
      <c r="H235" s="16"/>
      <c r="I235" s="1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22.5" customHeight="1">
      <c r="A236" s="16" t="s">
        <v>583</v>
      </c>
      <c r="B236" s="83" t="s">
        <v>584</v>
      </c>
      <c r="C236" s="16"/>
      <c r="D236" s="16"/>
      <c r="E236" s="84"/>
      <c r="F236" s="75" t="s">
        <v>570</v>
      </c>
      <c r="G236" s="90"/>
      <c r="H236" s="16"/>
      <c r="I236" s="1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22.5" customHeight="1">
      <c r="A237" s="16" t="s">
        <v>585</v>
      </c>
      <c r="B237" s="83" t="s">
        <v>586</v>
      </c>
      <c r="C237" s="16"/>
      <c r="D237" s="16"/>
      <c r="E237" s="84"/>
      <c r="F237" s="75" t="s">
        <v>570</v>
      </c>
      <c r="G237" s="90"/>
      <c r="H237" s="16"/>
      <c r="I237" s="1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22.5" customHeight="1">
      <c r="A238" s="16" t="s">
        <v>587</v>
      </c>
      <c r="B238" s="83" t="s">
        <v>588</v>
      </c>
      <c r="C238" s="16"/>
      <c r="D238" s="16"/>
      <c r="E238" s="84"/>
      <c r="F238" s="75" t="s">
        <v>589</v>
      </c>
      <c r="G238" s="90"/>
      <c r="H238" s="16"/>
      <c r="I238" s="1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22.5" customHeight="1">
      <c r="A239" s="16" t="s">
        <v>590</v>
      </c>
      <c r="B239" s="83" t="s">
        <v>591</v>
      </c>
      <c r="C239" s="16"/>
      <c r="D239" s="16"/>
      <c r="E239" s="84"/>
      <c r="F239" s="75" t="s">
        <v>589</v>
      </c>
      <c r="G239" s="90"/>
      <c r="H239" s="16"/>
      <c r="I239" s="1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22.5" customHeight="1">
      <c r="A240" s="16" t="s">
        <v>592</v>
      </c>
      <c r="B240" s="83" t="s">
        <v>593</v>
      </c>
      <c r="C240" s="16"/>
      <c r="D240" s="16"/>
      <c r="E240" s="84"/>
      <c r="F240" s="75" t="s">
        <v>589</v>
      </c>
      <c r="G240" s="90"/>
      <c r="H240" s="16"/>
      <c r="I240" s="1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22.5" customHeight="1">
      <c r="A241" s="16" t="s">
        <v>594</v>
      </c>
      <c r="B241" s="83" t="s">
        <v>595</v>
      </c>
      <c r="C241" s="16"/>
      <c r="D241" s="16"/>
      <c r="E241" s="84"/>
      <c r="F241" s="75" t="s">
        <v>589</v>
      </c>
      <c r="G241" s="90"/>
      <c r="H241" s="16"/>
      <c r="I241" s="1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22.5" customHeight="1">
      <c r="A242" s="16" t="s">
        <v>596</v>
      </c>
      <c r="B242" s="83" t="s">
        <v>597</v>
      </c>
      <c r="C242" s="16"/>
      <c r="D242" s="16"/>
      <c r="E242" s="84"/>
      <c r="F242" s="75" t="s">
        <v>589</v>
      </c>
      <c r="G242" s="90"/>
      <c r="H242" s="16"/>
      <c r="I242" s="1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22.5" customHeight="1">
      <c r="A243" s="16" t="s">
        <v>598</v>
      </c>
      <c r="B243" s="83" t="s">
        <v>599</v>
      </c>
      <c r="C243" s="16"/>
      <c r="D243" s="16"/>
      <c r="E243" s="84"/>
      <c r="F243" s="75" t="s">
        <v>589</v>
      </c>
      <c r="G243" s="90"/>
      <c r="H243" s="16"/>
      <c r="I243" s="1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22.5" customHeight="1">
      <c r="A244" s="16" t="s">
        <v>598</v>
      </c>
      <c r="B244" s="83" t="s">
        <v>600</v>
      </c>
      <c r="C244" s="16"/>
      <c r="D244" s="16"/>
      <c r="E244" s="84"/>
      <c r="F244" s="75" t="s">
        <v>589</v>
      </c>
      <c r="G244" s="90"/>
      <c r="H244" s="16"/>
      <c r="I244" s="1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22.5" customHeight="1">
      <c r="A245" s="16" t="s">
        <v>601</v>
      </c>
      <c r="B245" s="83" t="s">
        <v>602</v>
      </c>
      <c r="C245" s="16"/>
      <c r="D245" s="16"/>
      <c r="E245" s="84"/>
      <c r="F245" s="75" t="s">
        <v>589</v>
      </c>
      <c r="G245" s="90"/>
      <c r="H245" s="16"/>
      <c r="I245" s="1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22.5" customHeight="1">
      <c r="A246" s="16" t="s">
        <v>603</v>
      </c>
      <c r="B246" s="83" t="s">
        <v>604</v>
      </c>
      <c r="C246" s="16"/>
      <c r="D246" s="16"/>
      <c r="E246" s="84"/>
      <c r="F246" s="75" t="s">
        <v>589</v>
      </c>
      <c r="G246" s="90"/>
      <c r="H246" s="16"/>
      <c r="I246" s="1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22.5" customHeight="1">
      <c r="A247" s="16" t="s">
        <v>605</v>
      </c>
      <c r="B247" s="83" t="s">
        <v>606</v>
      </c>
      <c r="C247" s="16"/>
      <c r="D247" s="16"/>
      <c r="E247" s="84"/>
      <c r="F247" s="75" t="s">
        <v>589</v>
      </c>
      <c r="G247" s="90"/>
      <c r="H247" s="16"/>
      <c r="I247" s="1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22.5" customHeight="1">
      <c r="A248" s="16" t="s">
        <v>607</v>
      </c>
      <c r="B248" s="83" t="s">
        <v>608</v>
      </c>
      <c r="C248" s="16"/>
      <c r="D248" s="16"/>
      <c r="E248" s="84"/>
      <c r="F248" s="75" t="s">
        <v>589</v>
      </c>
      <c r="G248" s="90"/>
      <c r="H248" s="16"/>
      <c r="I248" s="1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22.5" customHeight="1">
      <c r="A249" s="16" t="s">
        <v>609</v>
      </c>
      <c r="B249" s="83" t="s">
        <v>610</v>
      </c>
      <c r="C249" s="16"/>
      <c r="D249" s="16"/>
      <c r="E249" s="84"/>
      <c r="F249" s="75" t="s">
        <v>589</v>
      </c>
      <c r="G249" s="90"/>
      <c r="H249" s="16"/>
      <c r="I249" s="1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22.5" customHeight="1">
      <c r="A250" s="16" t="s">
        <v>611</v>
      </c>
      <c r="B250" s="83" t="s">
        <v>612</v>
      </c>
      <c r="C250" s="16"/>
      <c r="D250" s="16"/>
      <c r="E250" s="84"/>
      <c r="F250" s="75" t="s">
        <v>589</v>
      </c>
      <c r="G250" s="90"/>
      <c r="H250" s="16"/>
      <c r="I250" s="1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22.5" customHeight="1">
      <c r="A251" s="16" t="s">
        <v>613</v>
      </c>
      <c r="B251" s="83" t="s">
        <v>614</v>
      </c>
      <c r="C251" s="16"/>
      <c r="D251" s="16"/>
      <c r="E251" s="84"/>
      <c r="F251" s="75" t="s">
        <v>589</v>
      </c>
      <c r="G251" s="90"/>
      <c r="H251" s="16"/>
      <c r="I251" s="1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22.5" customHeight="1">
      <c r="A252" s="16" t="s">
        <v>615</v>
      </c>
      <c r="B252" s="83" t="s">
        <v>616</v>
      </c>
      <c r="C252" s="16"/>
      <c r="D252" s="16"/>
      <c r="E252" s="84"/>
      <c r="F252" s="75" t="s">
        <v>589</v>
      </c>
      <c r="G252" s="90"/>
      <c r="H252" s="16"/>
      <c r="I252" s="1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22.5" customHeight="1">
      <c r="A253" s="16" t="s">
        <v>617</v>
      </c>
      <c r="B253" s="83" t="s">
        <v>618</v>
      </c>
      <c r="C253" s="16"/>
      <c r="D253" s="16"/>
      <c r="E253" s="84"/>
      <c r="F253" s="75" t="s">
        <v>589</v>
      </c>
      <c r="G253" s="90"/>
      <c r="H253" s="16"/>
      <c r="I253" s="1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22.5" customHeight="1">
      <c r="A254" s="16" t="s">
        <v>619</v>
      </c>
      <c r="B254" s="83" t="s">
        <v>620</v>
      </c>
      <c r="C254" s="16"/>
      <c r="D254" s="16"/>
      <c r="E254" s="84"/>
      <c r="F254" s="75" t="s">
        <v>589</v>
      </c>
      <c r="G254" s="90"/>
      <c r="H254" s="16"/>
      <c r="I254" s="1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22.5" customHeight="1">
      <c r="A255" s="16" t="s">
        <v>621</v>
      </c>
      <c r="B255" s="83" t="s">
        <v>622</v>
      </c>
      <c r="C255" s="16"/>
      <c r="D255" s="16"/>
      <c r="E255" s="84"/>
      <c r="F255" s="75" t="s">
        <v>589</v>
      </c>
      <c r="G255" s="90"/>
      <c r="H255" s="16"/>
      <c r="I255" s="1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22.5" customHeight="1">
      <c r="A256" s="16" t="s">
        <v>623</v>
      </c>
      <c r="B256" s="83" t="s">
        <v>624</v>
      </c>
      <c r="C256" s="16"/>
      <c r="D256" s="16"/>
      <c r="E256" s="84"/>
      <c r="F256" s="75" t="s">
        <v>589</v>
      </c>
      <c r="G256" s="90"/>
      <c r="H256" s="16"/>
      <c r="I256" s="1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22.5" customHeight="1">
      <c r="A257" s="16" t="s">
        <v>625</v>
      </c>
      <c r="B257" s="83" t="s">
        <v>626</v>
      </c>
      <c r="C257" s="16"/>
      <c r="D257" s="16"/>
      <c r="E257" s="84"/>
      <c r="F257" s="75" t="s">
        <v>589</v>
      </c>
      <c r="G257" s="90"/>
      <c r="H257" s="16"/>
      <c r="I257" s="1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22.5" customHeight="1">
      <c r="A258" s="16" t="s">
        <v>627</v>
      </c>
      <c r="B258" s="83" t="s">
        <v>628</v>
      </c>
      <c r="C258" s="16"/>
      <c r="D258" s="16"/>
      <c r="E258" s="84"/>
      <c r="F258" s="75" t="s">
        <v>589</v>
      </c>
      <c r="G258" s="90"/>
      <c r="H258" s="16"/>
      <c r="I258" s="1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22.5" customHeight="1">
      <c r="A259" s="16" t="s">
        <v>629</v>
      </c>
      <c r="B259" s="83" t="s">
        <v>630</v>
      </c>
      <c r="C259" s="16"/>
      <c r="D259" s="16"/>
      <c r="E259" s="84"/>
      <c r="F259" s="75" t="s">
        <v>589</v>
      </c>
      <c r="G259" s="90"/>
      <c r="H259" s="16"/>
      <c r="I259" s="1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22.5" customHeight="1">
      <c r="A260" s="16" t="s">
        <v>631</v>
      </c>
      <c r="B260" s="83" t="s">
        <v>632</v>
      </c>
      <c r="C260" s="16"/>
      <c r="D260" s="16"/>
      <c r="E260" s="84"/>
      <c r="F260" s="75" t="s">
        <v>589</v>
      </c>
      <c r="G260" s="90"/>
      <c r="H260" s="16"/>
      <c r="I260" s="1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22.5" customHeight="1">
      <c r="A261" s="16" t="s">
        <v>633</v>
      </c>
      <c r="B261" s="83" t="s">
        <v>634</v>
      </c>
      <c r="C261" s="16"/>
      <c r="D261" s="16"/>
      <c r="E261" s="84"/>
      <c r="F261" s="75" t="s">
        <v>589</v>
      </c>
      <c r="G261" s="90"/>
      <c r="H261" s="16"/>
      <c r="I261" s="1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22.5" customHeight="1">
      <c r="A262" s="16" t="s">
        <v>635</v>
      </c>
      <c r="B262" s="83" t="s">
        <v>636</v>
      </c>
      <c r="C262" s="16"/>
      <c r="D262" s="16"/>
      <c r="E262" s="84"/>
      <c r="F262" s="75" t="s">
        <v>589</v>
      </c>
      <c r="G262" s="90"/>
      <c r="H262" s="16"/>
      <c r="I262" s="1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22.5" customHeight="1">
      <c r="A263" s="16" t="s">
        <v>637</v>
      </c>
      <c r="B263" s="83" t="s">
        <v>638</v>
      </c>
      <c r="C263" s="16"/>
      <c r="D263" s="16"/>
      <c r="E263" s="84"/>
      <c r="F263" s="75" t="s">
        <v>589</v>
      </c>
      <c r="G263" s="90"/>
      <c r="H263" s="16"/>
      <c r="I263" s="1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22.5" customHeight="1">
      <c r="A264" s="16" t="s">
        <v>639</v>
      </c>
      <c r="B264" s="83" t="s">
        <v>640</v>
      </c>
      <c r="C264" s="16"/>
      <c r="D264" s="16"/>
      <c r="E264" s="84"/>
      <c r="F264" s="75" t="s">
        <v>589</v>
      </c>
      <c r="G264" s="90"/>
      <c r="H264" s="16"/>
      <c r="I264" s="1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22.5" customHeight="1">
      <c r="A265" s="16" t="s">
        <v>641</v>
      </c>
      <c r="B265" s="83" t="s">
        <v>642</v>
      </c>
      <c r="C265" s="16"/>
      <c r="D265" s="16"/>
      <c r="E265" s="84"/>
      <c r="F265" s="75" t="s">
        <v>589</v>
      </c>
      <c r="G265" s="90"/>
      <c r="H265" s="16"/>
      <c r="I265" s="1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22.5" customHeight="1">
      <c r="A266" s="16" t="s">
        <v>643</v>
      </c>
      <c r="B266" s="83" t="s">
        <v>644</v>
      </c>
      <c r="C266" s="16"/>
      <c r="D266" s="16"/>
      <c r="E266" s="84"/>
      <c r="F266" s="75" t="s">
        <v>589</v>
      </c>
      <c r="G266" s="90"/>
      <c r="H266" s="16"/>
      <c r="I266" s="1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22.5" customHeight="1">
      <c r="A267" s="16" t="s">
        <v>645</v>
      </c>
      <c r="B267" s="83" t="s">
        <v>646</v>
      </c>
      <c r="C267" s="16"/>
      <c r="D267" s="16"/>
      <c r="E267" s="84"/>
      <c r="F267" s="75" t="s">
        <v>589</v>
      </c>
      <c r="G267" s="90"/>
      <c r="H267" s="16"/>
      <c r="I267" s="1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22.5" customHeight="1">
      <c r="A268" s="16" t="s">
        <v>647</v>
      </c>
      <c r="B268" s="83" t="s">
        <v>648</v>
      </c>
      <c r="C268" s="16"/>
      <c r="D268" s="16"/>
      <c r="E268" s="84"/>
      <c r="F268" s="75" t="s">
        <v>589</v>
      </c>
      <c r="G268" s="90"/>
      <c r="H268" s="16"/>
      <c r="I268" s="1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22.5" customHeight="1">
      <c r="A269" s="16" t="s">
        <v>649</v>
      </c>
      <c r="B269" s="83" t="s">
        <v>650</v>
      </c>
      <c r="C269" s="16"/>
      <c r="D269" s="16"/>
      <c r="E269" s="84"/>
      <c r="F269" s="75" t="s">
        <v>589</v>
      </c>
      <c r="G269" s="90"/>
      <c r="H269" s="16"/>
      <c r="I269" s="1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22.5" customHeight="1">
      <c r="A270" s="16" t="s">
        <v>651</v>
      </c>
      <c r="B270" s="83" t="s">
        <v>652</v>
      </c>
      <c r="C270" s="16"/>
      <c r="D270" s="16"/>
      <c r="E270" s="84"/>
      <c r="F270" s="75" t="s">
        <v>589</v>
      </c>
      <c r="G270" s="90"/>
      <c r="H270" s="16"/>
      <c r="I270" s="1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22.5" customHeight="1">
      <c r="A271" s="16" t="s">
        <v>653</v>
      </c>
      <c r="B271" s="83" t="s">
        <v>654</v>
      </c>
      <c r="C271" s="16"/>
      <c r="D271" s="16"/>
      <c r="E271" s="84"/>
      <c r="F271" s="75" t="s">
        <v>589</v>
      </c>
      <c r="G271" s="90"/>
      <c r="H271" s="16"/>
      <c r="I271" s="1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22.5" customHeight="1">
      <c r="A272" s="16" t="s">
        <v>655</v>
      </c>
      <c r="B272" s="83" t="s">
        <v>656</v>
      </c>
      <c r="C272" s="16"/>
      <c r="D272" s="16"/>
      <c r="E272" s="84"/>
      <c r="F272" s="75" t="s">
        <v>589</v>
      </c>
      <c r="G272" s="90"/>
      <c r="H272" s="16"/>
      <c r="I272" s="1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22.5" customHeight="1">
      <c r="A273" s="16" t="s">
        <v>657</v>
      </c>
      <c r="B273" s="83" t="s">
        <v>658</v>
      </c>
      <c r="C273" s="16"/>
      <c r="D273" s="16"/>
      <c r="E273" s="84"/>
      <c r="F273" s="75" t="s">
        <v>589</v>
      </c>
      <c r="G273" s="90"/>
      <c r="H273" s="16"/>
      <c r="I273" s="1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22.5" customHeight="1">
      <c r="A274" s="16" t="s">
        <v>659</v>
      </c>
      <c r="B274" s="83" t="s">
        <v>660</v>
      </c>
      <c r="C274" s="16"/>
      <c r="D274" s="16"/>
      <c r="E274" s="84"/>
      <c r="F274" s="75" t="s">
        <v>589</v>
      </c>
      <c r="G274" s="90"/>
      <c r="H274" s="16"/>
      <c r="I274" s="1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22.5" customHeight="1">
      <c r="A275" s="16" t="s">
        <v>661</v>
      </c>
      <c r="B275" s="83" t="s">
        <v>662</v>
      </c>
      <c r="C275" s="16"/>
      <c r="D275" s="16"/>
      <c r="E275" s="84"/>
      <c r="F275" s="75" t="s">
        <v>589</v>
      </c>
      <c r="G275" s="90"/>
      <c r="H275" s="16"/>
      <c r="I275" s="1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22.5" customHeight="1">
      <c r="A276" s="16" t="s">
        <v>663</v>
      </c>
      <c r="B276" s="83" t="s">
        <v>664</v>
      </c>
      <c r="C276" s="16"/>
      <c r="D276" s="16"/>
      <c r="E276" s="84"/>
      <c r="F276" s="75" t="s">
        <v>589</v>
      </c>
      <c r="G276" s="90"/>
      <c r="H276" s="16"/>
      <c r="I276" s="1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22.5" customHeight="1">
      <c r="A277" s="16" t="s">
        <v>665</v>
      </c>
      <c r="B277" s="83" t="s">
        <v>666</v>
      </c>
      <c r="C277" s="16"/>
      <c r="D277" s="16"/>
      <c r="E277" s="84"/>
      <c r="F277" s="75" t="s">
        <v>667</v>
      </c>
      <c r="G277" s="90"/>
      <c r="H277" s="16"/>
      <c r="I277" s="1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22.5" customHeight="1">
      <c r="A278" s="16" t="s">
        <v>668</v>
      </c>
      <c r="B278" s="83" t="s">
        <v>669</v>
      </c>
      <c r="C278" s="16"/>
      <c r="D278" s="16"/>
      <c r="E278" s="84"/>
      <c r="F278" s="75" t="s">
        <v>667</v>
      </c>
      <c r="G278" s="90"/>
      <c r="H278" s="16"/>
      <c r="I278" s="1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22.5" customHeight="1">
      <c r="A279" s="16" t="s">
        <v>670</v>
      </c>
      <c r="B279" s="83" t="s">
        <v>671</v>
      </c>
      <c r="C279" s="16"/>
      <c r="D279" s="16"/>
      <c r="E279" s="84"/>
      <c r="F279" s="75" t="s">
        <v>667</v>
      </c>
      <c r="G279" s="90"/>
      <c r="H279" s="16"/>
      <c r="I279" s="1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22.5" customHeight="1">
      <c r="A280" s="16" t="s">
        <v>672</v>
      </c>
      <c r="B280" s="83" t="s">
        <v>673</v>
      </c>
      <c r="C280" s="16"/>
      <c r="D280" s="16"/>
      <c r="E280" s="84"/>
      <c r="F280" s="75" t="s">
        <v>667</v>
      </c>
      <c r="G280" s="90"/>
      <c r="H280" s="16"/>
      <c r="I280" s="1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22.5" customHeight="1">
      <c r="A281" s="16" t="s">
        <v>674</v>
      </c>
      <c r="B281" s="83" t="s">
        <v>675</v>
      </c>
      <c r="C281" s="16"/>
      <c r="D281" s="16"/>
      <c r="E281" s="84"/>
      <c r="F281" s="75" t="s">
        <v>667</v>
      </c>
      <c r="G281" s="90"/>
      <c r="H281" s="16"/>
      <c r="I281" s="1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22.5" customHeight="1">
      <c r="A282" s="16" t="s">
        <v>676</v>
      </c>
      <c r="B282" s="83" t="s">
        <v>677</v>
      </c>
      <c r="C282" s="16"/>
      <c r="D282" s="16"/>
      <c r="E282" s="84"/>
      <c r="F282" s="75" t="s">
        <v>667</v>
      </c>
      <c r="G282" s="90"/>
      <c r="H282" s="16"/>
      <c r="I282" s="1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22.5" customHeight="1">
      <c r="A283" s="16" t="s">
        <v>678</v>
      </c>
      <c r="B283" s="83" t="s">
        <v>679</v>
      </c>
      <c r="C283" s="16"/>
      <c r="D283" s="16"/>
      <c r="E283" s="84"/>
      <c r="F283" s="75" t="s">
        <v>667</v>
      </c>
      <c r="G283" s="90"/>
      <c r="H283" s="16"/>
      <c r="I283" s="1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22.5" customHeight="1">
      <c r="A284" s="16" t="s">
        <v>680</v>
      </c>
      <c r="B284" s="83" t="s">
        <v>681</v>
      </c>
      <c r="C284" s="16"/>
      <c r="D284" s="16"/>
      <c r="E284" s="84"/>
      <c r="F284" s="75" t="s">
        <v>667</v>
      </c>
      <c r="G284" s="90"/>
      <c r="H284" s="16"/>
      <c r="I284" s="1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22.5" customHeight="1">
      <c r="A285" s="16" t="s">
        <v>682</v>
      </c>
      <c r="B285" s="83" t="s">
        <v>683</v>
      </c>
      <c r="C285" s="16"/>
      <c r="D285" s="16"/>
      <c r="E285" s="84"/>
      <c r="F285" s="75" t="s">
        <v>667</v>
      </c>
      <c r="G285" s="90"/>
      <c r="H285" s="16"/>
      <c r="I285" s="1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22.5" customHeight="1">
      <c r="A286" s="16" t="s">
        <v>684</v>
      </c>
      <c r="B286" s="83" t="s">
        <v>685</v>
      </c>
      <c r="C286" s="16"/>
      <c r="D286" s="16"/>
      <c r="E286" s="84"/>
      <c r="F286" s="75" t="s">
        <v>667</v>
      </c>
      <c r="G286" s="90"/>
      <c r="H286" s="16"/>
      <c r="I286" s="1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22.5" customHeight="1">
      <c r="A287" s="94" t="s">
        <v>686</v>
      </c>
      <c r="B287" s="83" t="s">
        <v>687</v>
      </c>
      <c r="C287" s="16"/>
      <c r="D287" s="16"/>
      <c r="E287" s="84"/>
      <c r="F287" s="75" t="s">
        <v>688</v>
      </c>
      <c r="G287" s="90" t="s">
        <v>194</v>
      </c>
      <c r="H287" s="16"/>
      <c r="I287" s="1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22.5" customHeight="1">
      <c r="A288" s="94" t="s">
        <v>689</v>
      </c>
      <c r="B288" s="16" t="s">
        <v>690</v>
      </c>
      <c r="C288" s="16"/>
      <c r="D288" s="16"/>
      <c r="E288" s="84"/>
      <c r="F288" s="75" t="s">
        <v>688</v>
      </c>
      <c r="G288" s="90" t="s">
        <v>194</v>
      </c>
      <c r="H288" s="16"/>
      <c r="I288" s="1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22.5" customHeight="1">
      <c r="A289" s="94" t="s">
        <v>691</v>
      </c>
      <c r="B289" s="83" t="s">
        <v>692</v>
      </c>
      <c r="C289" s="16"/>
      <c r="D289" s="16"/>
      <c r="E289" s="84"/>
      <c r="F289" s="75" t="s">
        <v>688</v>
      </c>
      <c r="G289" s="90" t="s">
        <v>194</v>
      </c>
      <c r="H289" s="16"/>
      <c r="I289" s="1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22.5" customHeight="1">
      <c r="A290" s="94" t="s">
        <v>693</v>
      </c>
      <c r="B290" s="83" t="s">
        <v>694</v>
      </c>
      <c r="C290" s="16"/>
      <c r="D290" s="16"/>
      <c r="E290" s="84"/>
      <c r="F290" s="75" t="s">
        <v>688</v>
      </c>
      <c r="G290" s="90" t="s">
        <v>194</v>
      </c>
      <c r="H290" s="16"/>
      <c r="I290" s="1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22.5" customHeight="1">
      <c r="A291" s="94" t="s">
        <v>695</v>
      </c>
      <c r="B291" s="83" t="s">
        <v>696</v>
      </c>
      <c r="C291" s="16"/>
      <c r="D291" s="16"/>
      <c r="E291" s="84"/>
      <c r="F291" s="75" t="s">
        <v>688</v>
      </c>
      <c r="G291" s="90" t="s">
        <v>194</v>
      </c>
      <c r="H291" s="16"/>
      <c r="I291" s="1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22.5" customHeight="1">
      <c r="A292" s="94" t="s">
        <v>697</v>
      </c>
      <c r="B292" s="83" t="s">
        <v>698</v>
      </c>
      <c r="C292" s="16"/>
      <c r="D292" s="16"/>
      <c r="E292" s="84"/>
      <c r="F292" s="75" t="s">
        <v>688</v>
      </c>
      <c r="G292" s="90" t="s">
        <v>194</v>
      </c>
      <c r="H292" s="16"/>
      <c r="I292" s="1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22.5" customHeight="1">
      <c r="A293" s="93" t="s">
        <v>699</v>
      </c>
      <c r="B293" s="83" t="s">
        <v>700</v>
      </c>
      <c r="C293" s="16"/>
      <c r="D293" s="16"/>
      <c r="E293" s="84" t="s">
        <v>408</v>
      </c>
      <c r="F293" s="75" t="s">
        <v>688</v>
      </c>
      <c r="G293" s="90"/>
      <c r="H293" s="16"/>
      <c r="I293" s="1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22.5" customHeight="1">
      <c r="A294" s="16" t="s">
        <v>701</v>
      </c>
      <c r="B294" s="83" t="s">
        <v>702</v>
      </c>
      <c r="C294" s="16">
        <v>5.0</v>
      </c>
      <c r="D294" s="16"/>
      <c r="E294" s="84" t="s">
        <v>27</v>
      </c>
      <c r="F294" s="75" t="s">
        <v>688</v>
      </c>
      <c r="G294" s="90" t="s">
        <v>194</v>
      </c>
      <c r="H294" s="16"/>
      <c r="I294" s="1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22.5" customHeight="1">
      <c r="A295" s="94" t="s">
        <v>703</v>
      </c>
      <c r="B295" s="83" t="s">
        <v>704</v>
      </c>
      <c r="C295" s="16"/>
      <c r="D295" s="16"/>
      <c r="E295" s="84"/>
      <c r="F295" s="75" t="s">
        <v>688</v>
      </c>
      <c r="G295" s="90" t="s">
        <v>194</v>
      </c>
      <c r="H295" s="16"/>
      <c r="I295" s="1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22.5" customHeight="1">
      <c r="A296" s="94" t="s">
        <v>705</v>
      </c>
      <c r="B296" s="83" t="s">
        <v>706</v>
      </c>
      <c r="C296" s="16"/>
      <c r="D296" s="16"/>
      <c r="E296" s="84"/>
      <c r="F296" s="75" t="s">
        <v>688</v>
      </c>
      <c r="G296" s="90" t="s">
        <v>194</v>
      </c>
      <c r="H296" s="16"/>
      <c r="I296" s="1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22.5" customHeight="1">
      <c r="A297" s="16" t="s">
        <v>707</v>
      </c>
      <c r="B297" s="83" t="s">
        <v>708</v>
      </c>
      <c r="C297" s="16"/>
      <c r="D297" s="16"/>
      <c r="E297" s="84"/>
      <c r="F297" s="75" t="s">
        <v>688</v>
      </c>
      <c r="G297" s="90" t="s">
        <v>194</v>
      </c>
      <c r="H297" s="16"/>
      <c r="I297" s="1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22.5" customHeight="1">
      <c r="A298" s="94" t="s">
        <v>709</v>
      </c>
      <c r="B298" s="16" t="s">
        <v>710</v>
      </c>
      <c r="C298" s="16"/>
      <c r="D298" s="16"/>
      <c r="E298" s="84"/>
      <c r="F298" s="75" t="s">
        <v>688</v>
      </c>
      <c r="G298" s="90" t="s">
        <v>194</v>
      </c>
      <c r="H298" s="16"/>
      <c r="I298" s="1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22.5" customHeight="1">
      <c r="A299" s="16" t="s">
        <v>711</v>
      </c>
      <c r="B299" s="83" t="s">
        <v>712</v>
      </c>
      <c r="C299" s="16">
        <v>5.0</v>
      </c>
      <c r="D299" s="16"/>
      <c r="E299" s="84" t="s">
        <v>27</v>
      </c>
      <c r="F299" s="75" t="s">
        <v>688</v>
      </c>
      <c r="G299" s="90" t="s">
        <v>194</v>
      </c>
      <c r="H299" s="16"/>
      <c r="I299" s="1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22.5" customHeight="1">
      <c r="A300" s="94" t="s">
        <v>713</v>
      </c>
      <c r="B300" s="83" t="s">
        <v>714</v>
      </c>
      <c r="C300" s="16"/>
      <c r="D300" s="16"/>
      <c r="E300" s="84"/>
      <c r="F300" s="75" t="s">
        <v>688</v>
      </c>
      <c r="G300" s="90" t="s">
        <v>194</v>
      </c>
      <c r="H300" s="16"/>
      <c r="I300" s="1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22.5" customHeight="1">
      <c r="A301" s="94" t="s">
        <v>715</v>
      </c>
      <c r="B301" s="83" t="s">
        <v>716</v>
      </c>
      <c r="C301" s="16"/>
      <c r="D301" s="16"/>
      <c r="E301" s="84"/>
      <c r="F301" s="75" t="s">
        <v>717</v>
      </c>
      <c r="G301" s="90" t="s">
        <v>194</v>
      </c>
      <c r="H301" s="16"/>
      <c r="I301" s="1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22.5" customHeight="1">
      <c r="A302" s="94" t="s">
        <v>718</v>
      </c>
      <c r="B302" s="83" t="s">
        <v>719</v>
      </c>
      <c r="C302" s="16"/>
      <c r="D302" s="16"/>
      <c r="E302" s="84"/>
      <c r="F302" s="75" t="s">
        <v>717</v>
      </c>
      <c r="G302" s="90" t="s">
        <v>194</v>
      </c>
      <c r="H302" s="16"/>
      <c r="I302" s="1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22.5" customHeight="1">
      <c r="A303" s="94" t="s">
        <v>720</v>
      </c>
      <c r="B303" s="83" t="s">
        <v>721</v>
      </c>
      <c r="C303" s="16"/>
      <c r="D303" s="16"/>
      <c r="E303" s="84"/>
      <c r="F303" s="75" t="s">
        <v>717</v>
      </c>
      <c r="G303" s="90" t="s">
        <v>194</v>
      </c>
      <c r="H303" s="16"/>
      <c r="I303" s="1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22.5" customHeight="1">
      <c r="A304" s="94" t="s">
        <v>722</v>
      </c>
      <c r="B304" s="83" t="s">
        <v>723</v>
      </c>
      <c r="C304" s="16"/>
      <c r="D304" s="16"/>
      <c r="E304" s="84"/>
      <c r="F304" s="75" t="s">
        <v>717</v>
      </c>
      <c r="G304" s="90" t="s">
        <v>194</v>
      </c>
      <c r="H304" s="16"/>
      <c r="I304" s="1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22.5" customHeight="1">
      <c r="A305" s="94" t="s">
        <v>724</v>
      </c>
      <c r="B305" s="83" t="s">
        <v>725</v>
      </c>
      <c r="C305" s="16"/>
      <c r="D305" s="16"/>
      <c r="E305" s="84"/>
      <c r="F305" s="75" t="s">
        <v>717</v>
      </c>
      <c r="G305" s="90" t="s">
        <v>194</v>
      </c>
      <c r="H305" s="16"/>
      <c r="I305" s="1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22.5" customHeight="1">
      <c r="A306" s="94" t="s">
        <v>726</v>
      </c>
      <c r="B306" s="83" t="s">
        <v>727</v>
      </c>
      <c r="C306" s="16"/>
      <c r="D306" s="16"/>
      <c r="E306" s="84"/>
      <c r="F306" s="75" t="s">
        <v>717</v>
      </c>
      <c r="G306" s="90" t="s">
        <v>194</v>
      </c>
      <c r="H306" s="16"/>
      <c r="I306" s="1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22.5" customHeight="1">
      <c r="A307" s="94" t="s">
        <v>728</v>
      </c>
      <c r="B307" s="83" t="s">
        <v>729</v>
      </c>
      <c r="C307" s="16"/>
      <c r="D307" s="16"/>
      <c r="E307" s="84"/>
      <c r="F307" s="75" t="s">
        <v>717</v>
      </c>
      <c r="G307" s="90" t="s">
        <v>194</v>
      </c>
      <c r="H307" s="16"/>
      <c r="I307" s="1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22.5" customHeight="1">
      <c r="A308" s="94" t="s">
        <v>730</v>
      </c>
      <c r="B308" s="83" t="s">
        <v>731</v>
      </c>
      <c r="C308" s="16"/>
      <c r="D308" s="16"/>
      <c r="E308" s="84"/>
      <c r="F308" s="75" t="s">
        <v>717</v>
      </c>
      <c r="G308" s="90" t="s">
        <v>194</v>
      </c>
      <c r="H308" s="16"/>
      <c r="I308" s="1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22.5" customHeight="1">
      <c r="A309" s="94" t="s">
        <v>732</v>
      </c>
      <c r="B309" s="83" t="s">
        <v>733</v>
      </c>
      <c r="C309" s="16"/>
      <c r="D309" s="16"/>
      <c r="E309" s="84"/>
      <c r="F309" s="75" t="s">
        <v>717</v>
      </c>
      <c r="G309" s="90" t="s">
        <v>194</v>
      </c>
      <c r="H309" s="16"/>
      <c r="I309" s="1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22.5" customHeight="1">
      <c r="A310" s="94" t="s">
        <v>734</v>
      </c>
      <c r="B310" s="83" t="s">
        <v>735</v>
      </c>
      <c r="C310" s="16"/>
      <c r="D310" s="16"/>
      <c r="E310" s="84"/>
      <c r="F310" s="75" t="s">
        <v>717</v>
      </c>
      <c r="G310" s="90" t="s">
        <v>194</v>
      </c>
      <c r="H310" s="16"/>
      <c r="I310" s="1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22.5" customHeight="1">
      <c r="A311" s="94" t="s">
        <v>736</v>
      </c>
      <c r="B311" s="83" t="s">
        <v>737</v>
      </c>
      <c r="C311" s="16"/>
      <c r="D311" s="16"/>
      <c r="E311" s="84"/>
      <c r="F311" s="75" t="s">
        <v>717</v>
      </c>
      <c r="G311" s="90" t="s">
        <v>194</v>
      </c>
      <c r="H311" s="16"/>
      <c r="I311" s="1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22.5" customHeight="1">
      <c r="A312" s="94" t="s">
        <v>738</v>
      </c>
      <c r="B312" s="83" t="s">
        <v>739</v>
      </c>
      <c r="C312" s="16"/>
      <c r="D312" s="16"/>
      <c r="E312" s="84"/>
      <c r="F312" s="75" t="s">
        <v>717</v>
      </c>
      <c r="G312" s="90" t="s">
        <v>194</v>
      </c>
      <c r="H312" s="16"/>
      <c r="I312" s="1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22.5" customHeight="1">
      <c r="A313" s="94" t="s">
        <v>740</v>
      </c>
      <c r="B313" s="83" t="s">
        <v>741</v>
      </c>
      <c r="C313" s="16"/>
      <c r="D313" s="16"/>
      <c r="E313" s="84"/>
      <c r="F313" s="75" t="s">
        <v>717</v>
      </c>
      <c r="G313" s="90" t="s">
        <v>194</v>
      </c>
      <c r="H313" s="16"/>
      <c r="I313" s="1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22.5" customHeight="1">
      <c r="A314" s="94" t="s">
        <v>742</v>
      </c>
      <c r="B314" s="83" t="s">
        <v>743</v>
      </c>
      <c r="C314" s="16"/>
      <c r="D314" s="16"/>
      <c r="E314" s="84"/>
      <c r="F314" s="75" t="s">
        <v>717</v>
      </c>
      <c r="G314" s="90" t="s">
        <v>194</v>
      </c>
      <c r="H314" s="16"/>
      <c r="I314" s="1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22.5" customHeight="1">
      <c r="A315" s="94" t="s">
        <v>744</v>
      </c>
      <c r="B315" s="83" t="s">
        <v>745</v>
      </c>
      <c r="C315" s="16"/>
      <c r="D315" s="16"/>
      <c r="E315" s="84"/>
      <c r="F315" s="75" t="s">
        <v>717</v>
      </c>
      <c r="G315" s="90" t="s">
        <v>194</v>
      </c>
      <c r="H315" s="16"/>
      <c r="I315" s="1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22.5" customHeight="1">
      <c r="A316" s="94" t="s">
        <v>746</v>
      </c>
      <c r="B316" s="83" t="s">
        <v>747</v>
      </c>
      <c r="C316" s="16"/>
      <c r="D316" s="16"/>
      <c r="E316" s="84"/>
      <c r="F316" s="75" t="s">
        <v>717</v>
      </c>
      <c r="G316" s="90" t="s">
        <v>194</v>
      </c>
      <c r="H316" s="16"/>
      <c r="I316" s="1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22.5" customHeight="1">
      <c r="A317" s="94" t="s">
        <v>748</v>
      </c>
      <c r="B317" s="83" t="s">
        <v>749</v>
      </c>
      <c r="C317" s="16"/>
      <c r="D317" s="16"/>
      <c r="E317" s="84"/>
      <c r="F317" s="75" t="s">
        <v>717</v>
      </c>
      <c r="G317" s="90" t="s">
        <v>194</v>
      </c>
      <c r="H317" s="16"/>
      <c r="I317" s="1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22.5" customHeight="1">
      <c r="A318" s="94" t="s">
        <v>750</v>
      </c>
      <c r="B318" s="83" t="s">
        <v>751</v>
      </c>
      <c r="C318" s="16"/>
      <c r="D318" s="16"/>
      <c r="E318" s="84"/>
      <c r="F318" s="75" t="s">
        <v>717</v>
      </c>
      <c r="G318" s="90" t="s">
        <v>194</v>
      </c>
      <c r="H318" s="16"/>
      <c r="I318" s="1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22.5" customHeight="1">
      <c r="A319" s="94" t="s">
        <v>752</v>
      </c>
      <c r="B319" s="83" t="s">
        <v>753</v>
      </c>
      <c r="C319" s="16"/>
      <c r="D319" s="16"/>
      <c r="E319" s="84"/>
      <c r="F319" s="75" t="s">
        <v>717</v>
      </c>
      <c r="G319" s="90" t="s">
        <v>194</v>
      </c>
      <c r="H319" s="16"/>
      <c r="I319" s="1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22.5" customHeight="1">
      <c r="A320" s="94" t="s">
        <v>754</v>
      </c>
      <c r="B320" s="83" t="s">
        <v>755</v>
      </c>
      <c r="C320" s="16"/>
      <c r="D320" s="16"/>
      <c r="E320" s="84"/>
      <c r="F320" s="75" t="s">
        <v>717</v>
      </c>
      <c r="G320" s="90" t="s">
        <v>194</v>
      </c>
      <c r="H320" s="16"/>
      <c r="I320" s="1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22.5" customHeight="1">
      <c r="A321" s="94" t="s">
        <v>756</v>
      </c>
      <c r="B321" s="83" t="s">
        <v>757</v>
      </c>
      <c r="C321" s="16"/>
      <c r="D321" s="16"/>
      <c r="E321" s="84"/>
      <c r="F321" s="75" t="s">
        <v>717</v>
      </c>
      <c r="G321" s="90" t="s">
        <v>194</v>
      </c>
      <c r="H321" s="16"/>
      <c r="I321" s="1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22.5" customHeight="1">
      <c r="A322" s="94" t="s">
        <v>758</v>
      </c>
      <c r="B322" s="83" t="s">
        <v>759</v>
      </c>
      <c r="C322" s="16"/>
      <c r="D322" s="16"/>
      <c r="E322" s="84"/>
      <c r="F322" s="75" t="s">
        <v>717</v>
      </c>
      <c r="G322" s="90" t="s">
        <v>194</v>
      </c>
      <c r="H322" s="16"/>
      <c r="I322" s="1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22.5" customHeight="1">
      <c r="A323" s="94" t="s">
        <v>760</v>
      </c>
      <c r="B323" s="16" t="s">
        <v>761</v>
      </c>
      <c r="C323" s="16"/>
      <c r="D323" s="16"/>
      <c r="E323" s="84"/>
      <c r="F323" s="75" t="s">
        <v>717</v>
      </c>
      <c r="G323" s="90" t="s">
        <v>194</v>
      </c>
      <c r="H323" s="16"/>
      <c r="I323" s="1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22.5" customHeight="1">
      <c r="A324" s="94" t="s">
        <v>762</v>
      </c>
      <c r="B324" s="83" t="s">
        <v>763</v>
      </c>
      <c r="C324" s="16"/>
      <c r="D324" s="16"/>
      <c r="E324" s="84"/>
      <c r="F324" s="75" t="s">
        <v>717</v>
      </c>
      <c r="G324" s="90" t="s">
        <v>194</v>
      </c>
      <c r="H324" s="16"/>
      <c r="I324" s="1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22.5" customHeight="1">
      <c r="A325" s="16" t="s">
        <v>764</v>
      </c>
      <c r="B325" s="83" t="s">
        <v>765</v>
      </c>
      <c r="C325" s="16"/>
      <c r="D325" s="16"/>
      <c r="E325" s="84"/>
      <c r="F325" s="75" t="s">
        <v>766</v>
      </c>
      <c r="G325" s="90" t="s">
        <v>194</v>
      </c>
      <c r="H325" s="16"/>
      <c r="I325" s="1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22.5" customHeight="1">
      <c r="A326" s="16" t="s">
        <v>767</v>
      </c>
      <c r="B326" s="83" t="s">
        <v>768</v>
      </c>
      <c r="C326" s="16"/>
      <c r="D326" s="16"/>
      <c r="E326" s="84"/>
      <c r="F326" s="75" t="s">
        <v>766</v>
      </c>
      <c r="G326" s="90" t="s">
        <v>194</v>
      </c>
      <c r="H326" s="16"/>
      <c r="I326" s="1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22.5" customHeight="1">
      <c r="A327" s="16" t="s">
        <v>769</v>
      </c>
      <c r="B327" s="83" t="s">
        <v>770</v>
      </c>
      <c r="C327" s="16"/>
      <c r="D327" s="16"/>
      <c r="E327" s="84"/>
      <c r="F327" s="75" t="s">
        <v>766</v>
      </c>
      <c r="G327" s="90" t="s">
        <v>194</v>
      </c>
      <c r="H327" s="16"/>
      <c r="I327" s="1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22.5" customHeight="1">
      <c r="A328" s="16" t="s">
        <v>771</v>
      </c>
      <c r="B328" s="83" t="s">
        <v>772</v>
      </c>
      <c r="C328" s="16"/>
      <c r="D328" s="16"/>
      <c r="E328" s="84"/>
      <c r="F328" s="75" t="s">
        <v>766</v>
      </c>
      <c r="G328" s="90" t="s">
        <v>194</v>
      </c>
      <c r="H328" s="16"/>
      <c r="I328" s="1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22.5" customHeight="1">
      <c r="A329" s="16" t="s">
        <v>773</v>
      </c>
      <c r="B329" s="83" t="s">
        <v>774</v>
      </c>
      <c r="C329" s="16"/>
      <c r="D329" s="16"/>
      <c r="E329" s="84" t="s">
        <v>408</v>
      </c>
      <c r="F329" s="75" t="s">
        <v>766</v>
      </c>
      <c r="G329" s="90" t="s">
        <v>194</v>
      </c>
      <c r="H329" s="16"/>
      <c r="I329" s="1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22.5" customHeight="1">
      <c r="A330" s="16" t="s">
        <v>775</v>
      </c>
      <c r="B330" s="83" t="s">
        <v>776</v>
      </c>
      <c r="C330" s="16"/>
      <c r="D330" s="16"/>
      <c r="E330" s="84" t="s">
        <v>408</v>
      </c>
      <c r="F330" s="75" t="s">
        <v>766</v>
      </c>
      <c r="G330" s="90" t="s">
        <v>194</v>
      </c>
      <c r="H330" s="16"/>
      <c r="I330" s="1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22.5" customHeight="1">
      <c r="A331" s="16" t="s">
        <v>777</v>
      </c>
      <c r="B331" s="83" t="s">
        <v>778</v>
      </c>
      <c r="C331" s="16"/>
      <c r="D331" s="16"/>
      <c r="E331" s="84" t="s">
        <v>408</v>
      </c>
      <c r="F331" s="75" t="s">
        <v>766</v>
      </c>
      <c r="G331" s="90" t="s">
        <v>194</v>
      </c>
      <c r="H331" s="16"/>
      <c r="I331" s="1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22.5" customHeight="1">
      <c r="A332" s="16" t="s">
        <v>779</v>
      </c>
      <c r="B332" s="83" t="s">
        <v>780</v>
      </c>
      <c r="C332" s="16"/>
      <c r="D332" s="16"/>
      <c r="E332" s="84"/>
      <c r="F332" s="75" t="s">
        <v>766</v>
      </c>
      <c r="G332" s="90" t="s">
        <v>194</v>
      </c>
      <c r="H332" s="16"/>
      <c r="I332" s="1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22.5" customHeight="1">
      <c r="A333" s="16" t="s">
        <v>781</v>
      </c>
      <c r="B333" s="83" t="s">
        <v>782</v>
      </c>
      <c r="C333" s="16"/>
      <c r="D333" s="16"/>
      <c r="E333" s="84"/>
      <c r="F333" s="75" t="s">
        <v>766</v>
      </c>
      <c r="G333" s="90" t="s">
        <v>194</v>
      </c>
      <c r="H333" s="16"/>
      <c r="I333" s="1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22.5" customHeight="1">
      <c r="A334" s="16" t="s">
        <v>783</v>
      </c>
      <c r="B334" s="83" t="s">
        <v>784</v>
      </c>
      <c r="C334" s="16"/>
      <c r="D334" s="16"/>
      <c r="E334" s="84" t="s">
        <v>408</v>
      </c>
      <c r="F334" s="75" t="s">
        <v>766</v>
      </c>
      <c r="G334" s="90" t="s">
        <v>194</v>
      </c>
      <c r="H334" s="16"/>
      <c r="I334" s="1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22.5" customHeight="1">
      <c r="A335" s="16" t="s">
        <v>785</v>
      </c>
      <c r="B335" s="83" t="s">
        <v>786</v>
      </c>
      <c r="C335" s="16"/>
      <c r="D335" s="16"/>
      <c r="E335" s="84" t="s">
        <v>787</v>
      </c>
      <c r="F335" s="75" t="s">
        <v>788</v>
      </c>
      <c r="G335" s="90" t="s">
        <v>194</v>
      </c>
      <c r="H335" s="16"/>
      <c r="I335" s="1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22.5" customHeight="1">
      <c r="A336" s="16" t="s">
        <v>785</v>
      </c>
      <c r="B336" s="83" t="s">
        <v>789</v>
      </c>
      <c r="C336" s="16"/>
      <c r="D336" s="16"/>
      <c r="E336" s="84" t="s">
        <v>790</v>
      </c>
      <c r="F336" s="75" t="s">
        <v>788</v>
      </c>
      <c r="G336" s="90" t="s">
        <v>194</v>
      </c>
      <c r="H336" s="16"/>
      <c r="I336" s="1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22.5" customHeight="1">
      <c r="A337" s="94" t="s">
        <v>791</v>
      </c>
      <c r="B337" s="83" t="s">
        <v>792</v>
      </c>
      <c r="C337" s="16"/>
      <c r="D337" s="16"/>
      <c r="E337" s="84"/>
      <c r="F337" s="75" t="s">
        <v>788</v>
      </c>
      <c r="G337" s="90" t="s">
        <v>194</v>
      </c>
      <c r="H337" s="16"/>
      <c r="I337" s="1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22.5" customHeight="1">
      <c r="A338" s="93" t="s">
        <v>791</v>
      </c>
      <c r="B338" s="83" t="s">
        <v>793</v>
      </c>
      <c r="C338" s="16"/>
      <c r="D338" s="16"/>
      <c r="E338" s="84"/>
      <c r="F338" s="75" t="s">
        <v>788</v>
      </c>
      <c r="G338" s="90"/>
      <c r="H338" s="16"/>
      <c r="I338" s="1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22.5" customHeight="1">
      <c r="A339" s="16" t="s">
        <v>794</v>
      </c>
      <c r="B339" s="83" t="s">
        <v>795</v>
      </c>
      <c r="C339" s="16"/>
      <c r="D339" s="16"/>
      <c r="E339" s="84"/>
      <c r="F339" s="75" t="s">
        <v>788</v>
      </c>
      <c r="G339" s="90" t="s">
        <v>194</v>
      </c>
      <c r="H339" s="16"/>
      <c r="I339" s="1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22.5" customHeight="1">
      <c r="A340" s="16" t="s">
        <v>796</v>
      </c>
      <c r="B340" s="83" t="s">
        <v>797</v>
      </c>
      <c r="C340" s="16"/>
      <c r="D340" s="16"/>
      <c r="E340" s="84" t="s">
        <v>408</v>
      </c>
      <c r="F340" s="75" t="s">
        <v>788</v>
      </c>
      <c r="G340" s="90" t="s">
        <v>194</v>
      </c>
      <c r="H340" s="16"/>
      <c r="I340" s="1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22.5" customHeight="1">
      <c r="A341" s="94" t="s">
        <v>798</v>
      </c>
      <c r="B341" s="83" t="s">
        <v>799</v>
      </c>
      <c r="C341" s="16"/>
      <c r="D341" s="16"/>
      <c r="E341" s="84"/>
      <c r="F341" s="75" t="s">
        <v>788</v>
      </c>
      <c r="G341" s="90" t="s">
        <v>194</v>
      </c>
      <c r="H341" s="16"/>
      <c r="I341" s="1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22.5" customHeight="1">
      <c r="A342" s="93" t="s">
        <v>798</v>
      </c>
      <c r="B342" s="83" t="s">
        <v>800</v>
      </c>
      <c r="C342" s="16"/>
      <c r="D342" s="16"/>
      <c r="E342" s="84"/>
      <c r="F342" s="75" t="s">
        <v>788</v>
      </c>
      <c r="G342" s="90"/>
      <c r="H342" s="16"/>
      <c r="I342" s="1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22.5" customHeight="1">
      <c r="A343" s="16" t="s">
        <v>801</v>
      </c>
      <c r="B343" s="83" t="s">
        <v>802</v>
      </c>
      <c r="C343" s="16"/>
      <c r="D343" s="16"/>
      <c r="E343" s="84"/>
      <c r="F343" s="75" t="s">
        <v>788</v>
      </c>
      <c r="G343" s="90" t="s">
        <v>194</v>
      </c>
      <c r="H343" s="16"/>
      <c r="I343" s="1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22.5" customHeight="1">
      <c r="A344" s="16" t="s">
        <v>803</v>
      </c>
      <c r="B344" s="83" t="s">
        <v>804</v>
      </c>
      <c r="C344" s="16">
        <v>5.0</v>
      </c>
      <c r="D344" s="16"/>
      <c r="E344" s="84" t="s">
        <v>27</v>
      </c>
      <c r="F344" s="75" t="s">
        <v>788</v>
      </c>
      <c r="G344" s="90" t="s">
        <v>194</v>
      </c>
      <c r="H344" s="16"/>
      <c r="I344" s="1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22.5" customHeight="1">
      <c r="A345" s="93" t="s">
        <v>805</v>
      </c>
      <c r="B345" s="83" t="s">
        <v>806</v>
      </c>
      <c r="C345" s="16"/>
      <c r="D345" s="16"/>
      <c r="E345" s="84" t="s">
        <v>408</v>
      </c>
      <c r="F345" s="75" t="s">
        <v>788</v>
      </c>
      <c r="G345" s="90" t="s">
        <v>194</v>
      </c>
      <c r="H345" s="16"/>
      <c r="I345" s="1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22.5" customHeight="1">
      <c r="A346" s="16" t="s">
        <v>807</v>
      </c>
      <c r="B346" s="16" t="s">
        <v>808</v>
      </c>
      <c r="C346" s="16"/>
      <c r="D346" s="16"/>
      <c r="E346" s="84"/>
      <c r="F346" s="75" t="s">
        <v>788</v>
      </c>
      <c r="G346" s="90" t="s">
        <v>194</v>
      </c>
      <c r="H346" s="16"/>
      <c r="I346" s="1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22.5" customHeight="1">
      <c r="A347" s="16" t="s">
        <v>809</v>
      </c>
      <c r="B347" s="16" t="s">
        <v>810</v>
      </c>
      <c r="C347" s="16"/>
      <c r="D347" s="16"/>
      <c r="E347" s="84" t="s">
        <v>408</v>
      </c>
      <c r="F347" s="75" t="s">
        <v>788</v>
      </c>
      <c r="G347" s="90" t="s">
        <v>194</v>
      </c>
      <c r="H347" s="16"/>
      <c r="I347" s="1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22.5" customHeight="1">
      <c r="A348" s="93" t="s">
        <v>811</v>
      </c>
      <c r="B348" s="83" t="s">
        <v>812</v>
      </c>
      <c r="C348" s="16"/>
      <c r="D348" s="16"/>
      <c r="E348" s="84"/>
      <c r="F348" s="75" t="s">
        <v>788</v>
      </c>
      <c r="G348" s="90"/>
      <c r="H348" s="16"/>
      <c r="I348" s="1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22.5" customHeight="1">
      <c r="A349" s="16" t="s">
        <v>813</v>
      </c>
      <c r="B349" s="16" t="s">
        <v>814</v>
      </c>
      <c r="C349" s="16"/>
      <c r="D349" s="16"/>
      <c r="E349" s="84" t="s">
        <v>408</v>
      </c>
      <c r="F349" s="75" t="s">
        <v>788</v>
      </c>
      <c r="G349" s="90" t="s">
        <v>194</v>
      </c>
      <c r="H349" s="16"/>
      <c r="I349" s="1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22.5" customHeight="1">
      <c r="A350" s="94" t="s">
        <v>815</v>
      </c>
      <c r="B350" s="83" t="s">
        <v>799</v>
      </c>
      <c r="C350" s="16"/>
      <c r="D350" s="16"/>
      <c r="E350" s="84"/>
      <c r="F350" s="75" t="s">
        <v>788</v>
      </c>
      <c r="G350" s="90" t="s">
        <v>194</v>
      </c>
      <c r="H350" s="16"/>
      <c r="I350" s="1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22.5" customHeight="1">
      <c r="A351" s="93" t="s">
        <v>815</v>
      </c>
      <c r="B351" s="83" t="s">
        <v>816</v>
      </c>
      <c r="C351" s="16"/>
      <c r="D351" s="16"/>
      <c r="E351" s="84"/>
      <c r="F351" s="75" t="s">
        <v>788</v>
      </c>
      <c r="G351" s="90"/>
      <c r="H351" s="16"/>
      <c r="I351" s="1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22.5" customHeight="1">
      <c r="A352" s="16" t="s">
        <v>817</v>
      </c>
      <c r="B352" s="16" t="s">
        <v>818</v>
      </c>
      <c r="C352" s="16"/>
      <c r="D352" s="16"/>
      <c r="E352" s="84"/>
      <c r="F352" s="75" t="s">
        <v>788</v>
      </c>
      <c r="G352" s="90" t="s">
        <v>194</v>
      </c>
      <c r="H352" s="16"/>
      <c r="I352" s="1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22.5" customHeight="1">
      <c r="A353" s="16" t="s">
        <v>819</v>
      </c>
      <c r="B353" s="83" t="s">
        <v>820</v>
      </c>
      <c r="C353" s="16">
        <v>5.0</v>
      </c>
      <c r="D353" s="16" t="str">
        <f>REPT("★",C353) &amp; REPT("☆",5-C353)</f>
        <v>★★★★★</v>
      </c>
      <c r="E353" s="84" t="s">
        <v>27</v>
      </c>
      <c r="F353" s="75" t="s">
        <v>788</v>
      </c>
      <c r="G353" s="90" t="s">
        <v>194</v>
      </c>
      <c r="H353" s="16"/>
      <c r="I353" s="1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22.5" customHeight="1">
      <c r="A354" s="16" t="s">
        <v>821</v>
      </c>
      <c r="B354" s="83" t="s">
        <v>822</v>
      </c>
      <c r="C354" s="16"/>
      <c r="D354" s="16"/>
      <c r="E354" s="84" t="s">
        <v>408</v>
      </c>
      <c r="F354" s="75" t="s">
        <v>788</v>
      </c>
      <c r="G354" s="90" t="s">
        <v>194</v>
      </c>
      <c r="H354" s="16"/>
      <c r="I354" s="1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22.5" customHeight="1">
      <c r="A355" s="93" t="s">
        <v>823</v>
      </c>
      <c r="B355" s="83" t="s">
        <v>824</v>
      </c>
      <c r="C355" s="16"/>
      <c r="D355" s="16"/>
      <c r="E355" s="84"/>
      <c r="F355" s="75" t="s">
        <v>788</v>
      </c>
      <c r="G355" s="90"/>
      <c r="H355" s="16"/>
      <c r="I355" s="1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22.5" customHeight="1">
      <c r="A356" s="16" t="s">
        <v>825</v>
      </c>
      <c r="B356" s="83" t="s">
        <v>826</v>
      </c>
      <c r="C356" s="16"/>
      <c r="D356" s="16"/>
      <c r="E356" s="84" t="s">
        <v>408</v>
      </c>
      <c r="F356" s="75" t="s">
        <v>788</v>
      </c>
      <c r="G356" s="90" t="s">
        <v>194</v>
      </c>
      <c r="H356" s="16"/>
      <c r="I356" s="1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22.5" customHeight="1">
      <c r="A357" s="16" t="s">
        <v>827</v>
      </c>
      <c r="B357" s="83" t="s">
        <v>828</v>
      </c>
      <c r="C357" s="16"/>
      <c r="D357" s="16"/>
      <c r="E357" s="84"/>
      <c r="F357" s="75" t="s">
        <v>788</v>
      </c>
      <c r="G357" s="90" t="s">
        <v>194</v>
      </c>
      <c r="H357" s="16"/>
      <c r="I357" s="1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22.5" customHeight="1">
      <c r="A358" s="16" t="s">
        <v>829</v>
      </c>
      <c r="B358" s="83" t="s">
        <v>830</v>
      </c>
      <c r="C358" s="16"/>
      <c r="D358" s="16"/>
      <c r="E358" s="84" t="s">
        <v>27</v>
      </c>
      <c r="F358" s="75" t="s">
        <v>831</v>
      </c>
      <c r="G358" s="90" t="s">
        <v>832</v>
      </c>
      <c r="H358" s="16"/>
      <c r="I358" s="1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22.5" customHeight="1">
      <c r="A359" s="16" t="s">
        <v>829</v>
      </c>
      <c r="B359" s="83" t="s">
        <v>830</v>
      </c>
      <c r="C359" s="16">
        <v>5.0</v>
      </c>
      <c r="D359" s="16"/>
      <c r="E359" s="84" t="s">
        <v>833</v>
      </c>
      <c r="F359" s="75" t="s">
        <v>831</v>
      </c>
      <c r="G359" s="90" t="s">
        <v>832</v>
      </c>
      <c r="H359" s="16"/>
      <c r="I359" s="1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22.5" customHeight="1">
      <c r="A360" s="16" t="s">
        <v>834</v>
      </c>
      <c r="B360" s="83" t="s">
        <v>835</v>
      </c>
      <c r="C360" s="16"/>
      <c r="D360" s="16"/>
      <c r="E360" s="84"/>
      <c r="F360" s="75" t="s">
        <v>831</v>
      </c>
      <c r="G360" s="90" t="s">
        <v>194</v>
      </c>
      <c r="H360" s="16"/>
      <c r="I360" s="1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22.5" customHeight="1">
      <c r="A361" s="16" t="s">
        <v>836</v>
      </c>
      <c r="B361" s="83" t="s">
        <v>837</v>
      </c>
      <c r="C361" s="16"/>
      <c r="D361" s="16"/>
      <c r="E361" s="84" t="s">
        <v>27</v>
      </c>
      <c r="F361" s="75" t="s">
        <v>831</v>
      </c>
      <c r="G361" s="90" t="s">
        <v>194</v>
      </c>
      <c r="H361" s="16"/>
      <c r="I361" s="1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22.5" customHeight="1">
      <c r="A362" s="16" t="s">
        <v>838</v>
      </c>
      <c r="B362" s="83" t="s">
        <v>839</v>
      </c>
      <c r="C362" s="16"/>
      <c r="D362" s="16"/>
      <c r="E362" s="84" t="s">
        <v>27</v>
      </c>
      <c r="F362" s="75" t="s">
        <v>831</v>
      </c>
      <c r="G362" s="90" t="s">
        <v>194</v>
      </c>
      <c r="H362" s="16"/>
      <c r="I362" s="1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22.5" customHeight="1">
      <c r="A363" s="16" t="s">
        <v>840</v>
      </c>
      <c r="B363" s="83" t="s">
        <v>841</v>
      </c>
      <c r="C363" s="16"/>
      <c r="D363" s="16"/>
      <c r="E363" s="84" t="s">
        <v>842</v>
      </c>
      <c r="F363" s="75" t="s">
        <v>831</v>
      </c>
      <c r="G363" s="90" t="s">
        <v>194</v>
      </c>
      <c r="H363" s="16"/>
      <c r="I363" s="1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22.5" customHeight="1">
      <c r="A364" s="94" t="s">
        <v>843</v>
      </c>
      <c r="B364" s="83" t="s">
        <v>844</v>
      </c>
      <c r="C364" s="16"/>
      <c r="D364" s="16"/>
      <c r="E364" s="84"/>
      <c r="F364" s="75" t="s">
        <v>831</v>
      </c>
      <c r="G364" s="90" t="s">
        <v>194</v>
      </c>
      <c r="H364" s="16"/>
      <c r="I364" s="1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22.5" customHeight="1">
      <c r="A365" s="16" t="s">
        <v>845</v>
      </c>
      <c r="B365" s="83" t="s">
        <v>846</v>
      </c>
      <c r="C365" s="16"/>
      <c r="D365" s="16"/>
      <c r="E365" s="84" t="s">
        <v>27</v>
      </c>
      <c r="F365" s="75" t="s">
        <v>831</v>
      </c>
      <c r="G365" s="90" t="s">
        <v>194</v>
      </c>
      <c r="H365" s="16"/>
      <c r="I365" s="1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22.5" customHeight="1">
      <c r="A366" s="16" t="s">
        <v>847</v>
      </c>
      <c r="B366" s="83" t="s">
        <v>848</v>
      </c>
      <c r="C366" s="16"/>
      <c r="D366" s="16"/>
      <c r="E366" s="84" t="s">
        <v>27</v>
      </c>
      <c r="F366" s="75" t="s">
        <v>831</v>
      </c>
      <c r="G366" s="90" t="s">
        <v>194</v>
      </c>
      <c r="H366" s="16"/>
      <c r="I366" s="1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22.5" customHeight="1">
      <c r="A367" s="16" t="s">
        <v>849</v>
      </c>
      <c r="B367" s="83" t="s">
        <v>850</v>
      </c>
      <c r="C367" s="16"/>
      <c r="D367" s="16"/>
      <c r="E367" s="84" t="s">
        <v>851</v>
      </c>
      <c r="F367" s="75" t="s">
        <v>831</v>
      </c>
      <c r="G367" s="90" t="s">
        <v>194</v>
      </c>
      <c r="H367" s="16"/>
      <c r="I367" s="1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22.5" customHeight="1">
      <c r="A368" s="16" t="s">
        <v>849</v>
      </c>
      <c r="B368" s="83" t="s">
        <v>852</v>
      </c>
      <c r="C368" s="16"/>
      <c r="D368" s="16"/>
      <c r="E368" s="84" t="s">
        <v>853</v>
      </c>
      <c r="F368" s="75" t="s">
        <v>831</v>
      </c>
      <c r="G368" s="90" t="s">
        <v>194</v>
      </c>
      <c r="H368" s="16"/>
      <c r="I368" s="1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22.5" customHeight="1">
      <c r="A369" s="16" t="s">
        <v>854</v>
      </c>
      <c r="B369" s="83" t="s">
        <v>855</v>
      </c>
      <c r="C369" s="16"/>
      <c r="D369" s="16"/>
      <c r="E369" s="84" t="s">
        <v>27</v>
      </c>
      <c r="F369" s="75" t="s">
        <v>831</v>
      </c>
      <c r="G369" s="90" t="s">
        <v>194</v>
      </c>
      <c r="H369" s="16"/>
      <c r="I369" s="1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22.5" customHeight="1">
      <c r="A370" s="16" t="s">
        <v>856</v>
      </c>
      <c r="B370" s="83" t="s">
        <v>857</v>
      </c>
      <c r="C370" s="16"/>
      <c r="D370" s="16"/>
      <c r="E370" s="84" t="s">
        <v>27</v>
      </c>
      <c r="F370" s="75" t="s">
        <v>831</v>
      </c>
      <c r="G370" s="90" t="s">
        <v>832</v>
      </c>
      <c r="H370" s="16"/>
      <c r="I370" s="1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22.5" customHeight="1">
      <c r="A371" s="16" t="s">
        <v>858</v>
      </c>
      <c r="B371" s="83" t="s">
        <v>859</v>
      </c>
      <c r="C371" s="16"/>
      <c r="D371" s="16"/>
      <c r="E371" s="84" t="s">
        <v>27</v>
      </c>
      <c r="F371" s="75" t="s">
        <v>831</v>
      </c>
      <c r="G371" s="90" t="s">
        <v>832</v>
      </c>
      <c r="H371" s="16"/>
      <c r="I371" s="1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22.5" customHeight="1">
      <c r="A372" s="16" t="s">
        <v>860</v>
      </c>
      <c r="B372" s="83" t="s">
        <v>861</v>
      </c>
      <c r="C372" s="16"/>
      <c r="D372" s="16"/>
      <c r="E372" s="84" t="s">
        <v>27</v>
      </c>
      <c r="F372" s="75" t="s">
        <v>831</v>
      </c>
      <c r="G372" s="90" t="s">
        <v>832</v>
      </c>
      <c r="H372" s="16"/>
      <c r="I372" s="1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22.5" customHeight="1">
      <c r="A373" s="94" t="s">
        <v>862</v>
      </c>
      <c r="B373" s="83" t="s">
        <v>863</v>
      </c>
      <c r="C373" s="16"/>
      <c r="D373" s="16"/>
      <c r="E373" s="84"/>
      <c r="F373" s="75" t="s">
        <v>831</v>
      </c>
      <c r="G373" s="90" t="s">
        <v>194</v>
      </c>
      <c r="H373" s="16"/>
      <c r="I373" s="1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22.5" customHeight="1">
      <c r="A374" s="94" t="s">
        <v>864</v>
      </c>
      <c r="B374" s="83" t="s">
        <v>865</v>
      </c>
      <c r="C374" s="16"/>
      <c r="D374" s="16"/>
      <c r="E374" s="84"/>
      <c r="F374" s="75" t="s">
        <v>831</v>
      </c>
      <c r="G374" s="90" t="s">
        <v>194</v>
      </c>
      <c r="H374" s="16"/>
      <c r="I374" s="1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22.5" customHeight="1">
      <c r="A375" s="16" t="s">
        <v>866</v>
      </c>
      <c r="B375" s="83" t="s">
        <v>867</v>
      </c>
      <c r="C375" s="16"/>
      <c r="D375" s="16"/>
      <c r="E375" s="84" t="s">
        <v>27</v>
      </c>
      <c r="F375" s="75" t="s">
        <v>831</v>
      </c>
      <c r="G375" s="90" t="s">
        <v>194</v>
      </c>
      <c r="H375" s="16"/>
      <c r="I375" s="1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22.5" customHeight="1">
      <c r="A376" s="94" t="s">
        <v>868</v>
      </c>
      <c r="B376" s="83" t="s">
        <v>869</v>
      </c>
      <c r="C376" s="16"/>
      <c r="D376" s="16"/>
      <c r="E376" s="84"/>
      <c r="F376" s="75" t="s">
        <v>831</v>
      </c>
      <c r="G376" s="90" t="s">
        <v>194</v>
      </c>
      <c r="H376" s="16"/>
      <c r="I376" s="1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22.5" customHeight="1">
      <c r="A377" s="16" t="s">
        <v>870</v>
      </c>
      <c r="B377" s="83" t="s">
        <v>871</v>
      </c>
      <c r="C377" s="16"/>
      <c r="D377" s="16"/>
      <c r="E377" s="84" t="s">
        <v>27</v>
      </c>
      <c r="F377" s="75" t="s">
        <v>831</v>
      </c>
      <c r="G377" s="90" t="s">
        <v>832</v>
      </c>
      <c r="H377" s="16"/>
      <c r="I377" s="1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22.5" customHeight="1">
      <c r="A378" s="16" t="s">
        <v>872</v>
      </c>
      <c r="B378" s="83" t="s">
        <v>873</v>
      </c>
      <c r="C378" s="16"/>
      <c r="D378" s="16"/>
      <c r="E378" s="84" t="s">
        <v>27</v>
      </c>
      <c r="F378" s="75" t="s">
        <v>831</v>
      </c>
      <c r="G378" s="90" t="s">
        <v>832</v>
      </c>
      <c r="H378" s="16"/>
      <c r="I378" s="1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22.5" customHeight="1">
      <c r="A379" s="94" t="s">
        <v>874</v>
      </c>
      <c r="B379" s="83" t="s">
        <v>875</v>
      </c>
      <c r="C379" s="16"/>
      <c r="D379" s="16"/>
      <c r="E379" s="84"/>
      <c r="F379" s="75" t="s">
        <v>831</v>
      </c>
      <c r="G379" s="90"/>
      <c r="H379" s="16"/>
      <c r="I379" s="1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22.5" customHeight="1">
      <c r="A380" s="16" t="s">
        <v>876</v>
      </c>
      <c r="B380" s="83" t="s">
        <v>877</v>
      </c>
      <c r="C380" s="16"/>
      <c r="D380" s="16"/>
      <c r="E380" s="84"/>
      <c r="F380" s="75" t="s">
        <v>831</v>
      </c>
      <c r="G380" s="90" t="s">
        <v>194</v>
      </c>
      <c r="H380" s="16"/>
      <c r="I380" s="1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22.5" customHeight="1">
      <c r="A381" s="16" t="s">
        <v>878</v>
      </c>
      <c r="B381" s="83" t="s">
        <v>879</v>
      </c>
      <c r="C381" s="16">
        <v>5.0</v>
      </c>
      <c r="D381" s="16"/>
      <c r="E381" s="84" t="s">
        <v>27</v>
      </c>
      <c r="F381" s="75" t="s">
        <v>831</v>
      </c>
      <c r="G381" s="90" t="s">
        <v>832</v>
      </c>
      <c r="H381" s="16"/>
      <c r="I381" s="1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22.5" customHeight="1">
      <c r="A382" s="94" t="s">
        <v>880</v>
      </c>
      <c r="B382" s="83" t="s">
        <v>881</v>
      </c>
      <c r="C382" s="16"/>
      <c r="D382" s="16"/>
      <c r="E382" s="84"/>
      <c r="F382" s="75" t="s">
        <v>831</v>
      </c>
      <c r="G382" s="90" t="s">
        <v>194</v>
      </c>
      <c r="H382" s="16"/>
      <c r="I382" s="1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22.5" customHeight="1">
      <c r="A383" s="16" t="s">
        <v>882</v>
      </c>
      <c r="B383" s="83" t="s">
        <v>883</v>
      </c>
      <c r="C383" s="16"/>
      <c r="D383" s="16"/>
      <c r="E383" s="84" t="s">
        <v>408</v>
      </c>
      <c r="F383" s="75" t="s">
        <v>831</v>
      </c>
      <c r="G383" s="90" t="s">
        <v>194</v>
      </c>
      <c r="H383" s="16"/>
      <c r="I383" s="1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22.5" customHeight="1">
      <c r="A384" s="94" t="s">
        <v>884</v>
      </c>
      <c r="B384" s="83" t="s">
        <v>885</v>
      </c>
      <c r="C384" s="16"/>
      <c r="D384" s="16"/>
      <c r="E384" s="84"/>
      <c r="F384" s="75" t="s">
        <v>831</v>
      </c>
      <c r="G384" s="90" t="s">
        <v>194</v>
      </c>
      <c r="H384" s="16"/>
      <c r="I384" s="1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22.5" customHeight="1">
      <c r="A385" s="16" t="s">
        <v>886</v>
      </c>
      <c r="B385" s="83" t="s">
        <v>887</v>
      </c>
      <c r="C385" s="16"/>
      <c r="D385" s="16"/>
      <c r="E385" s="84" t="s">
        <v>27</v>
      </c>
      <c r="F385" s="75" t="s">
        <v>831</v>
      </c>
      <c r="G385" s="90" t="s">
        <v>832</v>
      </c>
      <c r="H385" s="16"/>
      <c r="I385" s="1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22.5" customHeight="1">
      <c r="A386" s="16" t="s">
        <v>888</v>
      </c>
      <c r="B386" s="83" t="s">
        <v>889</v>
      </c>
      <c r="C386" s="16"/>
      <c r="D386" s="16"/>
      <c r="E386" s="84" t="s">
        <v>27</v>
      </c>
      <c r="F386" s="75" t="s">
        <v>831</v>
      </c>
      <c r="G386" s="90" t="s">
        <v>832</v>
      </c>
      <c r="H386" s="16"/>
      <c r="I386" s="1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22.5" customHeight="1">
      <c r="A387" s="94" t="s">
        <v>890</v>
      </c>
      <c r="B387" s="83" t="s">
        <v>891</v>
      </c>
      <c r="C387" s="16"/>
      <c r="D387" s="16"/>
      <c r="E387" s="84"/>
      <c r="F387" s="75" t="s">
        <v>831</v>
      </c>
      <c r="G387" s="90" t="s">
        <v>194</v>
      </c>
      <c r="H387" s="16"/>
      <c r="I387" s="1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22.5" customHeight="1">
      <c r="A388" s="94" t="s">
        <v>892</v>
      </c>
      <c r="B388" s="83" t="s">
        <v>893</v>
      </c>
      <c r="C388" s="16"/>
      <c r="D388" s="16"/>
      <c r="E388" s="84"/>
      <c r="F388" s="75" t="s">
        <v>831</v>
      </c>
      <c r="G388" s="90" t="s">
        <v>194</v>
      </c>
      <c r="H388" s="16"/>
      <c r="I388" s="1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22.5" customHeight="1">
      <c r="A389" s="94" t="s">
        <v>894</v>
      </c>
      <c r="B389" s="83" t="s">
        <v>895</v>
      </c>
      <c r="C389" s="16"/>
      <c r="D389" s="16"/>
      <c r="E389" s="84"/>
      <c r="F389" s="75" t="s">
        <v>831</v>
      </c>
      <c r="G389" s="90" t="s">
        <v>194</v>
      </c>
      <c r="H389" s="16"/>
      <c r="I389" s="1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22.5" customHeight="1">
      <c r="A390" s="94" t="s">
        <v>896</v>
      </c>
      <c r="B390" s="83" t="s">
        <v>897</v>
      </c>
      <c r="C390" s="16"/>
      <c r="D390" s="16"/>
      <c r="E390" s="84"/>
      <c r="F390" s="75" t="s">
        <v>831</v>
      </c>
      <c r="G390" s="90" t="s">
        <v>194</v>
      </c>
      <c r="H390" s="16"/>
      <c r="I390" s="1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22.5" customHeight="1">
      <c r="A391" s="16" t="s">
        <v>898</v>
      </c>
      <c r="B391" s="83" t="s">
        <v>899</v>
      </c>
      <c r="C391" s="16"/>
      <c r="D391" s="16"/>
      <c r="E391" s="84"/>
      <c r="F391" s="75" t="s">
        <v>831</v>
      </c>
      <c r="G391" s="90" t="s">
        <v>194</v>
      </c>
      <c r="H391" s="16"/>
      <c r="I391" s="1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22.5" customHeight="1">
      <c r="A392" s="16" t="s">
        <v>900</v>
      </c>
      <c r="B392" s="83" t="s">
        <v>901</v>
      </c>
      <c r="C392" s="16"/>
      <c r="D392" s="16"/>
      <c r="E392" s="84"/>
      <c r="F392" s="75" t="s">
        <v>831</v>
      </c>
      <c r="G392" s="90" t="s">
        <v>194</v>
      </c>
      <c r="H392" s="16"/>
      <c r="I392" s="1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22.5" customHeight="1">
      <c r="A393" s="94" t="s">
        <v>902</v>
      </c>
      <c r="B393" s="83" t="s">
        <v>903</v>
      </c>
      <c r="C393" s="16"/>
      <c r="D393" s="16"/>
      <c r="E393" s="84"/>
      <c r="F393" s="75" t="s">
        <v>831</v>
      </c>
      <c r="G393" s="90" t="s">
        <v>194</v>
      </c>
      <c r="H393" s="16"/>
      <c r="I393" s="1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22.5" customHeight="1">
      <c r="A394" s="93" t="s">
        <v>902</v>
      </c>
      <c r="B394" s="83" t="s">
        <v>904</v>
      </c>
      <c r="C394" s="16"/>
      <c r="D394" s="16"/>
      <c r="E394" s="84"/>
      <c r="F394" s="75" t="s">
        <v>831</v>
      </c>
      <c r="G394" s="90"/>
      <c r="H394" s="16"/>
      <c r="I394" s="1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22.5" customHeight="1">
      <c r="A395" s="94" t="s">
        <v>905</v>
      </c>
      <c r="B395" s="83" t="s">
        <v>906</v>
      </c>
      <c r="C395" s="16"/>
      <c r="D395" s="16"/>
      <c r="E395" s="84"/>
      <c r="F395" s="75" t="s">
        <v>831</v>
      </c>
      <c r="G395" s="90" t="s">
        <v>194</v>
      </c>
      <c r="H395" s="16"/>
      <c r="I395" s="1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22.5" customHeight="1">
      <c r="A396" s="16" t="s">
        <v>907</v>
      </c>
      <c r="B396" s="83" t="s">
        <v>908</v>
      </c>
      <c r="C396" s="16"/>
      <c r="D396" s="16"/>
      <c r="E396" s="84"/>
      <c r="F396" s="75" t="s">
        <v>831</v>
      </c>
      <c r="G396" s="90" t="s">
        <v>194</v>
      </c>
      <c r="H396" s="16"/>
      <c r="I396" s="1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22.5" customHeight="1">
      <c r="A397" s="16" t="s">
        <v>909</v>
      </c>
      <c r="B397" s="16" t="s">
        <v>910</v>
      </c>
      <c r="C397" s="16"/>
      <c r="D397" s="16"/>
      <c r="E397" s="84" t="s">
        <v>408</v>
      </c>
      <c r="F397" s="75" t="s">
        <v>831</v>
      </c>
      <c r="G397" s="90" t="s">
        <v>194</v>
      </c>
      <c r="H397" s="16"/>
      <c r="I397" s="1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22.5" customHeight="1">
      <c r="A398" s="16" t="s">
        <v>911</v>
      </c>
      <c r="B398" s="83" t="s">
        <v>912</v>
      </c>
      <c r="C398" s="16"/>
      <c r="D398" s="16"/>
      <c r="E398" s="84"/>
      <c r="F398" s="75" t="s">
        <v>831</v>
      </c>
      <c r="G398" s="90" t="s">
        <v>194</v>
      </c>
      <c r="H398" s="16"/>
      <c r="I398" s="1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22.5" customHeight="1">
      <c r="A399" s="16" t="s">
        <v>913</v>
      </c>
      <c r="B399" s="83" t="s">
        <v>914</v>
      </c>
      <c r="C399" s="16"/>
      <c r="D399" s="16"/>
      <c r="E399" s="84"/>
      <c r="F399" s="75" t="s">
        <v>831</v>
      </c>
      <c r="G399" s="90" t="s">
        <v>194</v>
      </c>
      <c r="H399" s="16"/>
      <c r="I399" s="1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22.5" customHeight="1">
      <c r="A400" s="93" t="s">
        <v>915</v>
      </c>
      <c r="B400" s="83" t="s">
        <v>916</v>
      </c>
      <c r="C400" s="16"/>
      <c r="D400" s="16"/>
      <c r="E400" s="84"/>
      <c r="F400" s="75" t="s">
        <v>831</v>
      </c>
      <c r="G400" s="90"/>
      <c r="H400" s="16"/>
      <c r="I400" s="1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22.5" customHeight="1">
      <c r="A401" s="16" t="s">
        <v>917</v>
      </c>
      <c r="B401" s="16" t="s">
        <v>918</v>
      </c>
      <c r="C401" s="16"/>
      <c r="D401" s="16"/>
      <c r="E401" s="84"/>
      <c r="F401" s="75" t="s">
        <v>831</v>
      </c>
      <c r="G401" s="90" t="s">
        <v>194</v>
      </c>
      <c r="H401" s="16"/>
      <c r="I401" s="1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22.5" customHeight="1">
      <c r="A402" s="16" t="s">
        <v>919</v>
      </c>
      <c r="B402" s="83" t="s">
        <v>920</v>
      </c>
      <c r="C402" s="16"/>
      <c r="D402" s="16"/>
      <c r="E402" s="84" t="s">
        <v>27</v>
      </c>
      <c r="F402" s="75" t="s">
        <v>831</v>
      </c>
      <c r="G402" s="90" t="s">
        <v>194</v>
      </c>
      <c r="H402" s="16"/>
      <c r="I402" s="1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22.5" customHeight="1">
      <c r="A403" s="16" t="s">
        <v>919</v>
      </c>
      <c r="B403" s="83" t="s">
        <v>921</v>
      </c>
      <c r="C403" s="16"/>
      <c r="D403" s="16"/>
      <c r="E403" s="84" t="s">
        <v>27</v>
      </c>
      <c r="F403" s="75" t="s">
        <v>831</v>
      </c>
      <c r="G403" s="90" t="s">
        <v>194</v>
      </c>
      <c r="H403" s="16"/>
      <c r="I403" s="1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22.5" customHeight="1">
      <c r="A404" s="16" t="s">
        <v>922</v>
      </c>
      <c r="B404" s="16" t="s">
        <v>923</v>
      </c>
      <c r="C404" s="16"/>
      <c r="D404" s="16"/>
      <c r="E404" s="84"/>
      <c r="F404" s="75" t="s">
        <v>831</v>
      </c>
      <c r="G404" s="90" t="s">
        <v>194</v>
      </c>
      <c r="H404" s="16"/>
      <c r="I404" s="1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22.5" customHeight="1">
      <c r="A405" s="16" t="s">
        <v>924</v>
      </c>
      <c r="B405" s="16" t="s">
        <v>925</v>
      </c>
      <c r="C405" s="16"/>
      <c r="D405" s="16"/>
      <c r="E405" s="84"/>
      <c r="F405" s="75" t="s">
        <v>831</v>
      </c>
      <c r="G405" s="90" t="s">
        <v>194</v>
      </c>
      <c r="H405" s="16"/>
      <c r="I405" s="1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22.5" customHeight="1">
      <c r="A406" s="16" t="s">
        <v>926</v>
      </c>
      <c r="B406" s="83" t="s">
        <v>927</v>
      </c>
      <c r="C406" s="16"/>
      <c r="D406" s="16"/>
      <c r="E406" s="84" t="s">
        <v>27</v>
      </c>
      <c r="F406" s="75" t="s">
        <v>831</v>
      </c>
      <c r="G406" s="90" t="s">
        <v>194</v>
      </c>
      <c r="H406" s="16"/>
      <c r="I406" s="1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22.5" customHeight="1">
      <c r="A407" s="93" t="s">
        <v>928</v>
      </c>
      <c r="B407" s="83" t="s">
        <v>929</v>
      </c>
      <c r="C407" s="16"/>
      <c r="D407" s="16"/>
      <c r="E407" s="84"/>
      <c r="F407" s="75" t="s">
        <v>831</v>
      </c>
      <c r="G407" s="90"/>
      <c r="H407" s="16"/>
      <c r="I407" s="1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22.5" customHeight="1">
      <c r="A408" s="16" t="s">
        <v>930</v>
      </c>
      <c r="B408" s="83" t="s">
        <v>931</v>
      </c>
      <c r="C408" s="16"/>
      <c r="D408" s="16"/>
      <c r="E408" s="84"/>
      <c r="F408" s="75" t="s">
        <v>831</v>
      </c>
      <c r="G408" s="90" t="s">
        <v>194</v>
      </c>
      <c r="H408" s="16"/>
      <c r="I408" s="1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22.5" customHeight="1">
      <c r="A409" s="94" t="s">
        <v>932</v>
      </c>
      <c r="B409" s="83" t="s">
        <v>933</v>
      </c>
      <c r="C409" s="16"/>
      <c r="D409" s="16"/>
      <c r="E409" s="84"/>
      <c r="F409" s="75" t="s">
        <v>831</v>
      </c>
      <c r="G409" s="90" t="s">
        <v>194</v>
      </c>
      <c r="H409" s="16"/>
      <c r="I409" s="1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22.5" customHeight="1">
      <c r="A410" s="16" t="s">
        <v>934</v>
      </c>
      <c r="B410" s="83" t="s">
        <v>935</v>
      </c>
      <c r="C410" s="16"/>
      <c r="D410" s="16"/>
      <c r="E410" s="84"/>
      <c r="F410" s="75" t="s">
        <v>831</v>
      </c>
      <c r="G410" s="90" t="s">
        <v>194</v>
      </c>
      <c r="H410" s="16"/>
      <c r="I410" s="1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22.5" customHeight="1">
      <c r="A411" s="16" t="s">
        <v>936</v>
      </c>
      <c r="B411" s="83" t="s">
        <v>937</v>
      </c>
      <c r="C411" s="16"/>
      <c r="D411" s="16"/>
      <c r="E411" s="84" t="s">
        <v>27</v>
      </c>
      <c r="F411" s="75" t="s">
        <v>831</v>
      </c>
      <c r="G411" s="90" t="s">
        <v>832</v>
      </c>
      <c r="H411" s="16"/>
      <c r="I411" s="1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22.5" customHeight="1">
      <c r="A412" s="94" t="s">
        <v>938</v>
      </c>
      <c r="B412" s="83" t="s">
        <v>939</v>
      </c>
      <c r="C412" s="16"/>
      <c r="D412" s="16"/>
      <c r="E412" s="84"/>
      <c r="F412" s="75" t="s">
        <v>831</v>
      </c>
      <c r="G412" s="90" t="s">
        <v>194</v>
      </c>
      <c r="H412" s="16"/>
      <c r="I412" s="1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22.5" customHeight="1">
      <c r="A413" s="16" t="s">
        <v>940</v>
      </c>
      <c r="B413" s="83" t="s">
        <v>941</v>
      </c>
      <c r="C413" s="16">
        <v>5.0</v>
      </c>
      <c r="D413" s="16"/>
      <c r="E413" s="84" t="s">
        <v>942</v>
      </c>
      <c r="F413" s="75" t="s">
        <v>831</v>
      </c>
      <c r="G413" s="90" t="s">
        <v>832</v>
      </c>
      <c r="H413" s="16"/>
      <c r="I413" s="1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22.5" customHeight="1">
      <c r="A414" s="16" t="s">
        <v>943</v>
      </c>
      <c r="B414" s="83" t="s">
        <v>944</v>
      </c>
      <c r="C414" s="16"/>
      <c r="D414" s="16"/>
      <c r="E414" s="84" t="s">
        <v>27</v>
      </c>
      <c r="F414" s="75" t="s">
        <v>831</v>
      </c>
      <c r="G414" s="90" t="s">
        <v>194</v>
      </c>
      <c r="H414" s="16"/>
      <c r="I414" s="1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22.5" customHeight="1">
      <c r="A415" s="16" t="s">
        <v>945</v>
      </c>
      <c r="B415" s="83" t="s">
        <v>946</v>
      </c>
      <c r="C415" s="16"/>
      <c r="D415" s="16"/>
      <c r="E415" s="84" t="s">
        <v>27</v>
      </c>
      <c r="F415" s="75" t="s">
        <v>831</v>
      </c>
      <c r="G415" s="90" t="s">
        <v>194</v>
      </c>
      <c r="H415" s="16"/>
      <c r="I415" s="1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22.5" customHeight="1">
      <c r="A416" s="16" t="s">
        <v>947</v>
      </c>
      <c r="B416" s="83" t="s">
        <v>948</v>
      </c>
      <c r="C416" s="16"/>
      <c r="D416" s="16"/>
      <c r="E416" s="84" t="s">
        <v>27</v>
      </c>
      <c r="F416" s="75" t="s">
        <v>831</v>
      </c>
      <c r="G416" s="90" t="s">
        <v>194</v>
      </c>
      <c r="H416" s="16"/>
      <c r="I416" s="1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22.5" customHeight="1">
      <c r="A417" s="16" t="s">
        <v>949</v>
      </c>
      <c r="B417" s="83" t="s">
        <v>950</v>
      </c>
      <c r="C417" s="16"/>
      <c r="D417" s="16"/>
      <c r="E417" s="84" t="s">
        <v>408</v>
      </c>
      <c r="F417" s="75" t="s">
        <v>831</v>
      </c>
      <c r="G417" s="90" t="s">
        <v>194</v>
      </c>
      <c r="H417" s="16"/>
      <c r="I417" s="1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22.5" customHeight="1">
      <c r="A418" s="16" t="s">
        <v>951</v>
      </c>
      <c r="B418" s="83" t="s">
        <v>952</v>
      </c>
      <c r="C418" s="16"/>
      <c r="D418" s="16"/>
      <c r="E418" s="84" t="s">
        <v>27</v>
      </c>
      <c r="F418" s="75" t="s">
        <v>831</v>
      </c>
      <c r="G418" s="90" t="s">
        <v>194</v>
      </c>
      <c r="H418" s="16"/>
      <c r="I418" s="1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22.5" customHeight="1">
      <c r="A419" s="16" t="s">
        <v>953</v>
      </c>
      <c r="B419" s="83" t="s">
        <v>954</v>
      </c>
      <c r="C419" s="16"/>
      <c r="D419" s="16"/>
      <c r="E419" s="84"/>
      <c r="F419" s="75" t="s">
        <v>831</v>
      </c>
      <c r="G419" s="90" t="s">
        <v>194</v>
      </c>
      <c r="H419" s="16"/>
      <c r="I419" s="1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22.5" customHeight="1">
      <c r="A420" s="94" t="s">
        <v>955</v>
      </c>
      <c r="B420" s="83" t="s">
        <v>956</v>
      </c>
      <c r="C420" s="16"/>
      <c r="D420" s="16"/>
      <c r="E420" s="84"/>
      <c r="F420" s="75" t="s">
        <v>831</v>
      </c>
      <c r="G420" s="90" t="s">
        <v>194</v>
      </c>
      <c r="H420" s="16"/>
      <c r="I420" s="1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22.5" customHeight="1">
      <c r="A421" s="94" t="s">
        <v>957</v>
      </c>
      <c r="B421" s="83" t="s">
        <v>958</v>
      </c>
      <c r="C421" s="16"/>
      <c r="D421" s="16"/>
      <c r="E421" s="84"/>
      <c r="F421" s="75" t="s">
        <v>831</v>
      </c>
      <c r="G421" s="90" t="s">
        <v>194</v>
      </c>
      <c r="H421" s="16"/>
      <c r="I421" s="1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22.5" customHeight="1">
      <c r="A422" s="16" t="s">
        <v>959</v>
      </c>
      <c r="B422" s="83" t="s">
        <v>960</v>
      </c>
      <c r="C422" s="16"/>
      <c r="D422" s="16"/>
      <c r="E422" s="84"/>
      <c r="F422" s="75" t="s">
        <v>831</v>
      </c>
      <c r="G422" s="90" t="s">
        <v>194</v>
      </c>
      <c r="H422" s="16"/>
      <c r="I422" s="1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22.5" customHeight="1">
      <c r="A423" s="93" t="s">
        <v>961</v>
      </c>
      <c r="B423" s="83" t="s">
        <v>962</v>
      </c>
      <c r="C423" s="16"/>
      <c r="D423" s="16"/>
      <c r="E423" s="84"/>
      <c r="F423" s="75" t="s">
        <v>831</v>
      </c>
      <c r="G423" s="90"/>
      <c r="H423" s="16"/>
      <c r="I423" s="1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22.5" customHeight="1">
      <c r="A424" s="95" t="s">
        <v>963</v>
      </c>
      <c r="B424" s="72"/>
      <c r="C424" s="16"/>
      <c r="D424" s="16"/>
      <c r="E424" s="84" t="s">
        <v>408</v>
      </c>
      <c r="F424" s="75" t="s">
        <v>831</v>
      </c>
      <c r="G424" s="90" t="s">
        <v>194</v>
      </c>
      <c r="H424" s="16"/>
      <c r="I424" s="1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22.5" customHeight="1">
      <c r="A425" s="93" t="s">
        <v>964</v>
      </c>
      <c r="B425" s="10" t="s">
        <v>965</v>
      </c>
      <c r="C425" s="16"/>
      <c r="D425" s="16"/>
      <c r="E425" s="91" t="s">
        <v>408</v>
      </c>
      <c r="F425" s="75" t="s">
        <v>831</v>
      </c>
      <c r="G425" s="90"/>
      <c r="H425" s="16"/>
      <c r="I425" s="1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22.5" customHeight="1">
      <c r="A426" s="94" t="s">
        <v>966</v>
      </c>
      <c r="B426" s="83" t="s">
        <v>967</v>
      </c>
      <c r="C426" s="16"/>
      <c r="D426" s="16"/>
      <c r="E426" s="84"/>
      <c r="F426" s="75" t="s">
        <v>831</v>
      </c>
      <c r="G426" s="90"/>
      <c r="H426" s="16"/>
      <c r="I426" s="1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22.5" customHeight="1">
      <c r="A427" s="16" t="s">
        <v>968</v>
      </c>
      <c r="B427" s="83" t="s">
        <v>969</v>
      </c>
      <c r="C427" s="16"/>
      <c r="D427" s="16"/>
      <c r="E427" s="84"/>
      <c r="F427" s="75" t="s">
        <v>831</v>
      </c>
      <c r="G427" s="90" t="s">
        <v>194</v>
      </c>
      <c r="H427" s="16"/>
      <c r="I427" s="1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22.5" customHeight="1">
      <c r="A428" s="16" t="s">
        <v>970</v>
      </c>
      <c r="B428" s="83" t="s">
        <v>971</v>
      </c>
      <c r="C428" s="16"/>
      <c r="D428" s="16"/>
      <c r="E428" s="84" t="s">
        <v>942</v>
      </c>
      <c r="F428" s="75" t="s">
        <v>831</v>
      </c>
      <c r="G428" s="90" t="s">
        <v>832</v>
      </c>
      <c r="H428" s="16"/>
      <c r="I428" s="1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22.5" customHeight="1">
      <c r="A429" s="16" t="s">
        <v>972</v>
      </c>
      <c r="B429" s="83" t="s">
        <v>973</v>
      </c>
      <c r="C429" s="16"/>
      <c r="D429" s="16"/>
      <c r="E429" s="84"/>
      <c r="F429" s="75" t="s">
        <v>831</v>
      </c>
      <c r="G429" s="90" t="s">
        <v>194</v>
      </c>
      <c r="H429" s="16"/>
      <c r="I429" s="1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22.5" customHeight="1">
      <c r="A430" s="16" t="s">
        <v>974</v>
      </c>
      <c r="B430" s="83" t="s">
        <v>975</v>
      </c>
      <c r="C430" s="16"/>
      <c r="D430" s="16"/>
      <c r="E430" s="84"/>
      <c r="F430" s="75" t="s">
        <v>831</v>
      </c>
      <c r="G430" s="90" t="s">
        <v>194</v>
      </c>
      <c r="H430" s="16"/>
      <c r="I430" s="1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22.5" customHeight="1">
      <c r="A431" s="16" t="s">
        <v>976</v>
      </c>
      <c r="B431" s="16" t="s">
        <v>977</v>
      </c>
      <c r="C431" s="16"/>
      <c r="D431" s="16"/>
      <c r="E431" s="84"/>
      <c r="F431" s="75" t="s">
        <v>831</v>
      </c>
      <c r="G431" s="90" t="s">
        <v>194</v>
      </c>
      <c r="H431" s="16"/>
      <c r="I431" s="1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22.5" customHeight="1">
      <c r="A432" s="16" t="s">
        <v>978</v>
      </c>
      <c r="B432" s="83" t="s">
        <v>979</v>
      </c>
      <c r="C432" s="16"/>
      <c r="D432" s="16"/>
      <c r="E432" s="84" t="s">
        <v>980</v>
      </c>
      <c r="F432" s="75" t="s">
        <v>831</v>
      </c>
      <c r="G432" s="90" t="s">
        <v>194</v>
      </c>
      <c r="H432" s="16"/>
      <c r="I432" s="1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22.5" customHeight="1">
      <c r="A433" s="16" t="s">
        <v>981</v>
      </c>
      <c r="B433" s="83" t="s">
        <v>982</v>
      </c>
      <c r="C433" s="16"/>
      <c r="D433" s="16"/>
      <c r="E433" s="84"/>
      <c r="F433" s="75" t="s">
        <v>831</v>
      </c>
      <c r="G433" s="90" t="s">
        <v>194</v>
      </c>
      <c r="H433" s="16"/>
      <c r="I433" s="1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22.5" customHeight="1">
      <c r="A434" s="16" t="s">
        <v>983</v>
      </c>
      <c r="B434" s="83" t="s">
        <v>984</v>
      </c>
      <c r="C434" s="16"/>
      <c r="D434" s="16"/>
      <c r="E434" s="84" t="s">
        <v>27</v>
      </c>
      <c r="F434" s="75" t="s">
        <v>831</v>
      </c>
      <c r="G434" s="90" t="s">
        <v>194</v>
      </c>
      <c r="H434" s="16"/>
      <c r="I434" s="1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22.5" customHeight="1">
      <c r="A435" s="16" t="s">
        <v>985</v>
      </c>
      <c r="B435" s="83" t="s">
        <v>986</v>
      </c>
      <c r="C435" s="16"/>
      <c r="D435" s="16"/>
      <c r="E435" s="84"/>
      <c r="F435" s="75" t="s">
        <v>831</v>
      </c>
      <c r="G435" s="90" t="s">
        <v>832</v>
      </c>
      <c r="H435" s="16"/>
      <c r="I435" s="1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22.5" customHeight="1">
      <c r="A436" s="16" t="s">
        <v>987</v>
      </c>
      <c r="B436" s="83" t="s">
        <v>988</v>
      </c>
      <c r="C436" s="16"/>
      <c r="D436" s="16"/>
      <c r="E436" s="84" t="s">
        <v>27</v>
      </c>
      <c r="F436" s="75" t="s">
        <v>831</v>
      </c>
      <c r="G436" s="90" t="s">
        <v>832</v>
      </c>
      <c r="H436" s="16"/>
      <c r="I436" s="1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22.5" customHeight="1">
      <c r="A437" s="16" t="s">
        <v>989</v>
      </c>
      <c r="B437" s="83" t="s">
        <v>990</v>
      </c>
      <c r="C437" s="16"/>
      <c r="D437" s="16"/>
      <c r="E437" s="84"/>
      <c r="F437" s="75" t="s">
        <v>831</v>
      </c>
      <c r="G437" s="90" t="s">
        <v>194</v>
      </c>
      <c r="H437" s="16"/>
      <c r="I437" s="1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22.5" customHeight="1">
      <c r="A438" s="93" t="s">
        <v>991</v>
      </c>
      <c r="B438" s="83" t="s">
        <v>992</v>
      </c>
      <c r="C438" s="16"/>
      <c r="D438" s="16"/>
      <c r="E438" s="84"/>
      <c r="F438" s="75" t="s">
        <v>831</v>
      </c>
      <c r="G438" s="90"/>
      <c r="H438" s="16"/>
      <c r="I438" s="1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22.5" customHeight="1">
      <c r="A439" s="94" t="s">
        <v>993</v>
      </c>
      <c r="B439" s="83" t="s">
        <v>994</v>
      </c>
      <c r="C439" s="16"/>
      <c r="D439" s="16"/>
      <c r="E439" s="84"/>
      <c r="F439" s="75" t="s">
        <v>831</v>
      </c>
      <c r="G439" s="90"/>
      <c r="H439" s="16"/>
      <c r="I439" s="1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22.5" customHeight="1">
      <c r="A440" s="93" t="s">
        <v>995</v>
      </c>
      <c r="B440" s="83" t="s">
        <v>996</v>
      </c>
      <c r="C440" s="16"/>
      <c r="D440" s="16"/>
      <c r="E440" s="84"/>
      <c r="F440" s="75" t="s">
        <v>831</v>
      </c>
      <c r="G440" s="90"/>
      <c r="H440" s="16"/>
      <c r="I440" s="1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22.5" customHeight="1">
      <c r="A441" s="94" t="s">
        <v>997</v>
      </c>
      <c r="B441" s="83" t="s">
        <v>998</v>
      </c>
      <c r="C441" s="16"/>
      <c r="D441" s="16"/>
      <c r="E441" s="84"/>
      <c r="F441" s="75" t="s">
        <v>831</v>
      </c>
      <c r="G441" s="90" t="s">
        <v>194</v>
      </c>
      <c r="H441" s="16"/>
      <c r="I441" s="1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22.5" customHeight="1">
      <c r="A442" s="16" t="s">
        <v>999</v>
      </c>
      <c r="B442" s="83" t="s">
        <v>1000</v>
      </c>
      <c r="C442" s="16"/>
      <c r="D442" s="16"/>
      <c r="E442" s="84" t="s">
        <v>27</v>
      </c>
      <c r="F442" s="75" t="s">
        <v>831</v>
      </c>
      <c r="G442" s="90" t="s">
        <v>194</v>
      </c>
      <c r="H442" s="16"/>
      <c r="I442" s="1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22.5" customHeight="1">
      <c r="A443" s="16" t="s">
        <v>1001</v>
      </c>
      <c r="B443" s="83" t="s">
        <v>1002</v>
      </c>
      <c r="C443" s="16">
        <v>5.0</v>
      </c>
      <c r="D443" s="16"/>
      <c r="E443" s="84" t="s">
        <v>833</v>
      </c>
      <c r="F443" s="75" t="s">
        <v>831</v>
      </c>
      <c r="G443" s="90" t="s">
        <v>832</v>
      </c>
      <c r="H443" s="16"/>
      <c r="I443" s="1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22.5" customHeight="1">
      <c r="A444" s="16" t="s">
        <v>1003</v>
      </c>
      <c r="B444" s="83" t="s">
        <v>1004</v>
      </c>
      <c r="C444" s="16"/>
      <c r="D444" s="16"/>
      <c r="E444" s="84"/>
      <c r="F444" s="75" t="s">
        <v>831</v>
      </c>
      <c r="G444" s="90" t="s">
        <v>194</v>
      </c>
      <c r="H444" s="16"/>
      <c r="I444" s="1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22.5" customHeight="1">
      <c r="A445" s="93" t="s">
        <v>1005</v>
      </c>
      <c r="B445" s="83" t="s">
        <v>1006</v>
      </c>
      <c r="C445" s="16"/>
      <c r="D445" s="16"/>
      <c r="E445" s="84"/>
      <c r="F445" s="75" t="s">
        <v>831</v>
      </c>
      <c r="G445" s="90"/>
      <c r="H445" s="16"/>
      <c r="I445" s="1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22.5" customHeight="1">
      <c r="A446" s="16" t="s">
        <v>1007</v>
      </c>
      <c r="B446" s="83" t="s">
        <v>1008</v>
      </c>
      <c r="C446" s="16"/>
      <c r="D446" s="16"/>
      <c r="E446" s="84" t="s">
        <v>27</v>
      </c>
      <c r="F446" s="75" t="s">
        <v>831</v>
      </c>
      <c r="G446" s="90" t="s">
        <v>194</v>
      </c>
      <c r="H446" s="16"/>
      <c r="I446" s="1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22.5" customHeight="1">
      <c r="A447" s="94" t="s">
        <v>1009</v>
      </c>
      <c r="B447" s="83" t="s">
        <v>1010</v>
      </c>
      <c r="C447" s="16"/>
      <c r="D447" s="16"/>
      <c r="E447" s="84"/>
      <c r="F447" s="75" t="s">
        <v>831</v>
      </c>
      <c r="G447" s="90" t="s">
        <v>194</v>
      </c>
      <c r="H447" s="16"/>
      <c r="I447" s="1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22.5" customHeight="1">
      <c r="A448" s="16" t="s">
        <v>1011</v>
      </c>
      <c r="B448" s="83" t="s">
        <v>1012</v>
      </c>
      <c r="C448" s="16"/>
      <c r="D448" s="16"/>
      <c r="E448" s="84"/>
      <c r="F448" s="75" t="s">
        <v>831</v>
      </c>
      <c r="G448" s="90" t="s">
        <v>194</v>
      </c>
      <c r="H448" s="16"/>
      <c r="I448" s="1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22.5" customHeight="1">
      <c r="A449" s="16" t="s">
        <v>1013</v>
      </c>
      <c r="B449" s="83" t="s">
        <v>1014</v>
      </c>
      <c r="C449" s="16"/>
      <c r="D449" s="16"/>
      <c r="E449" s="84" t="s">
        <v>787</v>
      </c>
      <c r="F449" s="75" t="s">
        <v>831</v>
      </c>
      <c r="G449" s="90" t="s">
        <v>194</v>
      </c>
      <c r="H449" s="16"/>
      <c r="I449" s="1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22.5" customHeight="1">
      <c r="A450" s="16" t="s">
        <v>1015</v>
      </c>
      <c r="B450" s="83" t="s">
        <v>1016</v>
      </c>
      <c r="C450" s="16"/>
      <c r="D450" s="16"/>
      <c r="E450" s="84"/>
      <c r="F450" s="75" t="s">
        <v>831</v>
      </c>
      <c r="G450" s="85" t="s">
        <v>98</v>
      </c>
      <c r="H450" s="16" t="s">
        <v>1017</v>
      </c>
      <c r="I450" s="1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22.5" customHeight="1">
      <c r="A451" s="16" t="s">
        <v>1018</v>
      </c>
      <c r="B451" s="83" t="s">
        <v>1019</v>
      </c>
      <c r="C451" s="16"/>
      <c r="D451" s="16"/>
      <c r="E451" s="84"/>
      <c r="F451" s="75" t="s">
        <v>831</v>
      </c>
      <c r="G451" s="90" t="s">
        <v>194</v>
      </c>
      <c r="H451" s="16"/>
      <c r="I451" s="1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22.5" customHeight="1">
      <c r="A452" s="16" t="s">
        <v>1020</v>
      </c>
      <c r="B452" s="83" t="s">
        <v>1021</v>
      </c>
      <c r="C452" s="16"/>
      <c r="D452" s="16"/>
      <c r="E452" s="84" t="s">
        <v>27</v>
      </c>
      <c r="F452" s="75" t="s">
        <v>831</v>
      </c>
      <c r="G452" s="90" t="s">
        <v>832</v>
      </c>
      <c r="H452" s="16"/>
      <c r="I452" s="1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22.5" customHeight="1">
      <c r="A453" s="16" t="s">
        <v>1022</v>
      </c>
      <c r="B453" s="83" t="s">
        <v>1023</v>
      </c>
      <c r="C453" s="16"/>
      <c r="D453" s="16"/>
      <c r="E453" s="84"/>
      <c r="F453" s="75" t="s">
        <v>831</v>
      </c>
      <c r="G453" s="90" t="s">
        <v>194</v>
      </c>
      <c r="H453" s="16"/>
      <c r="I453" s="1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22.5" customHeight="1">
      <c r="A454" s="16" t="s">
        <v>1024</v>
      </c>
      <c r="B454" s="83" t="s">
        <v>1025</v>
      </c>
      <c r="C454" s="16"/>
      <c r="D454" s="16"/>
      <c r="E454" s="84"/>
      <c r="F454" s="75" t="s">
        <v>831</v>
      </c>
      <c r="G454" s="90" t="s">
        <v>194</v>
      </c>
      <c r="H454" s="16"/>
      <c r="I454" s="1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22.5" customHeight="1">
      <c r="A455" s="16" t="s">
        <v>1026</v>
      </c>
      <c r="B455" s="89" t="s">
        <v>1027</v>
      </c>
      <c r="C455" s="16"/>
      <c r="D455" s="16"/>
      <c r="E455" s="84" t="s">
        <v>408</v>
      </c>
      <c r="F455" s="75" t="s">
        <v>831</v>
      </c>
      <c r="G455" s="90" t="s">
        <v>194</v>
      </c>
      <c r="H455" s="16"/>
      <c r="I455" s="1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22.5" customHeight="1">
      <c r="A456" s="94" t="s">
        <v>1028</v>
      </c>
      <c r="B456" s="83" t="s">
        <v>1029</v>
      </c>
      <c r="C456" s="16"/>
      <c r="D456" s="16"/>
      <c r="E456" s="84"/>
      <c r="F456" s="75" t="s">
        <v>831</v>
      </c>
      <c r="G456" s="90" t="s">
        <v>194</v>
      </c>
      <c r="H456" s="16"/>
      <c r="I456" s="1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22.5" customHeight="1">
      <c r="A457" s="93" t="s">
        <v>1028</v>
      </c>
      <c r="B457" s="83" t="s">
        <v>1030</v>
      </c>
      <c r="C457" s="16"/>
      <c r="D457" s="16"/>
      <c r="E457" s="84"/>
      <c r="F457" s="75" t="s">
        <v>831</v>
      </c>
      <c r="G457" s="90"/>
      <c r="H457" s="16"/>
      <c r="I457" s="1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22.5" customHeight="1">
      <c r="A458" s="16" t="s">
        <v>1031</v>
      </c>
      <c r="B458" s="83" t="s">
        <v>1032</v>
      </c>
      <c r="C458" s="16"/>
      <c r="D458" s="16"/>
      <c r="E458" s="84"/>
      <c r="F458" s="75" t="s">
        <v>831</v>
      </c>
      <c r="G458" s="90" t="s">
        <v>194</v>
      </c>
      <c r="H458" s="16"/>
      <c r="I458" s="1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22.5" customHeight="1">
      <c r="A459" s="94" t="s">
        <v>1033</v>
      </c>
      <c r="B459" s="83" t="s">
        <v>1034</v>
      </c>
      <c r="C459" s="16"/>
      <c r="D459" s="16"/>
      <c r="E459" s="84"/>
      <c r="F459" s="75" t="s">
        <v>831</v>
      </c>
      <c r="G459" s="90"/>
      <c r="H459" s="16"/>
      <c r="I459" s="1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22.5" customHeight="1">
      <c r="A460" s="16" t="s">
        <v>1035</v>
      </c>
      <c r="B460" s="83" t="s">
        <v>1036</v>
      </c>
      <c r="C460" s="16"/>
      <c r="D460" s="16"/>
      <c r="E460" s="84"/>
      <c r="F460" s="75" t="s">
        <v>831</v>
      </c>
      <c r="G460" s="90" t="s">
        <v>194</v>
      </c>
      <c r="H460" s="16"/>
      <c r="I460" s="1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22.5" customHeight="1">
      <c r="A461" s="16" t="s">
        <v>1037</v>
      </c>
      <c r="B461" s="83" t="s">
        <v>1038</v>
      </c>
      <c r="C461" s="16"/>
      <c r="D461" s="16"/>
      <c r="E461" s="84" t="s">
        <v>408</v>
      </c>
      <c r="F461" s="75" t="s">
        <v>831</v>
      </c>
      <c r="G461" s="90" t="s">
        <v>194</v>
      </c>
      <c r="H461" s="16"/>
      <c r="I461" s="1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22.5" customHeight="1">
      <c r="A462" s="16" t="s">
        <v>1039</v>
      </c>
      <c r="B462" s="83" t="s">
        <v>1040</v>
      </c>
      <c r="C462" s="16"/>
      <c r="D462" s="16"/>
      <c r="E462" s="84" t="s">
        <v>27</v>
      </c>
      <c r="F462" s="75" t="s">
        <v>831</v>
      </c>
      <c r="G462" s="90" t="s">
        <v>194</v>
      </c>
      <c r="H462" s="16"/>
      <c r="I462" s="1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22.5" customHeight="1">
      <c r="A463" s="16" t="s">
        <v>1039</v>
      </c>
      <c r="B463" s="83" t="s">
        <v>1041</v>
      </c>
      <c r="C463" s="16"/>
      <c r="D463" s="16"/>
      <c r="E463" s="84" t="s">
        <v>27</v>
      </c>
      <c r="F463" s="75" t="s">
        <v>831</v>
      </c>
      <c r="G463" s="90" t="s">
        <v>194</v>
      </c>
      <c r="H463" s="16"/>
      <c r="I463" s="1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22.5" customHeight="1">
      <c r="A464" s="94" t="s">
        <v>1042</v>
      </c>
      <c r="B464" s="83" t="s">
        <v>1043</v>
      </c>
      <c r="C464" s="16"/>
      <c r="D464" s="16"/>
      <c r="E464" s="84"/>
      <c r="F464" s="75" t="s">
        <v>831</v>
      </c>
      <c r="G464" s="90"/>
      <c r="H464" s="16"/>
      <c r="I464" s="1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22.5" customHeight="1">
      <c r="A465" s="16" t="s">
        <v>1044</v>
      </c>
      <c r="B465" s="83" t="s">
        <v>1045</v>
      </c>
      <c r="C465" s="16"/>
      <c r="D465" s="16"/>
      <c r="E465" s="84"/>
      <c r="F465" s="75" t="s">
        <v>831</v>
      </c>
      <c r="G465" s="90" t="s">
        <v>194</v>
      </c>
      <c r="H465" s="16"/>
      <c r="I465" s="1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22.5" customHeight="1">
      <c r="A466" s="16" t="s">
        <v>1046</v>
      </c>
      <c r="B466" s="83" t="s">
        <v>1047</v>
      </c>
      <c r="C466" s="16"/>
      <c r="D466" s="16"/>
      <c r="E466" s="84"/>
      <c r="F466" s="75" t="s">
        <v>831</v>
      </c>
      <c r="G466" s="90" t="s">
        <v>194</v>
      </c>
      <c r="H466" s="16"/>
      <c r="I466" s="1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22.5" customHeight="1">
      <c r="A467" s="94" t="s">
        <v>1048</v>
      </c>
      <c r="B467" s="83" t="s">
        <v>1049</v>
      </c>
      <c r="C467" s="16"/>
      <c r="D467" s="16"/>
      <c r="E467" s="84"/>
      <c r="F467" s="75" t="s">
        <v>831</v>
      </c>
      <c r="G467" s="90" t="s">
        <v>194</v>
      </c>
      <c r="H467" s="16"/>
      <c r="I467" s="1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22.5" customHeight="1">
      <c r="A468" s="16" t="s">
        <v>1050</v>
      </c>
      <c r="B468" s="83" t="s">
        <v>1051</v>
      </c>
      <c r="C468" s="16"/>
      <c r="D468" s="16"/>
      <c r="E468" s="84"/>
      <c r="F468" s="75" t="s">
        <v>831</v>
      </c>
      <c r="G468" s="90" t="s">
        <v>194</v>
      </c>
      <c r="H468" s="16"/>
      <c r="I468" s="1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22.5" customHeight="1">
      <c r="A469" s="94" t="s">
        <v>1052</v>
      </c>
      <c r="B469" s="83" t="s">
        <v>1053</v>
      </c>
      <c r="C469" s="16"/>
      <c r="D469" s="16"/>
      <c r="E469" s="84"/>
      <c r="F469" s="75" t="s">
        <v>831</v>
      </c>
      <c r="G469" s="90" t="s">
        <v>194</v>
      </c>
      <c r="H469" s="16"/>
      <c r="I469" s="1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22.5" customHeight="1">
      <c r="A470" s="16" t="s">
        <v>1054</v>
      </c>
      <c r="B470" s="83" t="s">
        <v>1055</v>
      </c>
      <c r="C470" s="16"/>
      <c r="D470" s="16"/>
      <c r="E470" s="84" t="s">
        <v>27</v>
      </c>
      <c r="F470" s="75" t="s">
        <v>831</v>
      </c>
      <c r="G470" s="90" t="s">
        <v>194</v>
      </c>
      <c r="H470" s="16"/>
      <c r="I470" s="1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22.5" customHeight="1">
      <c r="A471" s="16" t="s">
        <v>1056</v>
      </c>
      <c r="B471" s="83" t="s">
        <v>1057</v>
      </c>
      <c r="C471" s="16"/>
      <c r="D471" s="16"/>
      <c r="E471" s="84" t="s">
        <v>408</v>
      </c>
      <c r="F471" s="75" t="s">
        <v>831</v>
      </c>
      <c r="G471" s="90" t="s">
        <v>194</v>
      </c>
      <c r="H471" s="16"/>
      <c r="I471" s="1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22.5" customHeight="1">
      <c r="A472" s="94" t="s">
        <v>1058</v>
      </c>
      <c r="B472" s="83" t="s">
        <v>1059</v>
      </c>
      <c r="C472" s="16"/>
      <c r="D472" s="16"/>
      <c r="E472" s="84"/>
      <c r="F472" s="75" t="s">
        <v>831</v>
      </c>
      <c r="G472" s="90" t="s">
        <v>194</v>
      </c>
      <c r="H472" s="16"/>
      <c r="I472" s="1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22.5" customHeight="1">
      <c r="A473" s="94" t="s">
        <v>1060</v>
      </c>
      <c r="B473" s="83" t="s">
        <v>1061</v>
      </c>
      <c r="C473" s="16"/>
      <c r="D473" s="16"/>
      <c r="E473" s="84"/>
      <c r="F473" s="75" t="s">
        <v>831</v>
      </c>
      <c r="G473" s="90"/>
      <c r="H473" s="16"/>
      <c r="I473" s="1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22.5" customHeight="1">
      <c r="A474" s="93" t="s">
        <v>1062</v>
      </c>
      <c r="B474" s="83" t="s">
        <v>1063</v>
      </c>
      <c r="C474" s="16"/>
      <c r="D474" s="16"/>
      <c r="E474" s="84"/>
      <c r="F474" s="75" t="s">
        <v>831</v>
      </c>
      <c r="G474" s="90"/>
      <c r="H474" s="16"/>
      <c r="I474" s="1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22.5" customHeight="1">
      <c r="A475" s="93" t="s">
        <v>1064</v>
      </c>
      <c r="B475" s="83" t="s">
        <v>1065</v>
      </c>
      <c r="C475" s="16"/>
      <c r="D475" s="16"/>
      <c r="E475" s="84"/>
      <c r="F475" s="75" t="s">
        <v>831</v>
      </c>
      <c r="G475" s="90"/>
      <c r="H475" s="16"/>
      <c r="I475" s="1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22.5" customHeight="1">
      <c r="A476" s="16" t="s">
        <v>832</v>
      </c>
      <c r="B476" s="83" t="s">
        <v>1066</v>
      </c>
      <c r="C476" s="16"/>
      <c r="D476" s="16"/>
      <c r="E476" s="84" t="s">
        <v>27</v>
      </c>
      <c r="F476" s="75" t="s">
        <v>831</v>
      </c>
      <c r="G476" s="90" t="s">
        <v>832</v>
      </c>
      <c r="H476" s="16"/>
      <c r="I476" s="1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22.5" customHeight="1">
      <c r="A477" s="16" t="s">
        <v>1067</v>
      </c>
      <c r="B477" s="83" t="s">
        <v>1068</v>
      </c>
      <c r="C477" s="16"/>
      <c r="D477" s="16"/>
      <c r="E477" s="84" t="s">
        <v>408</v>
      </c>
      <c r="F477" s="75" t="s">
        <v>831</v>
      </c>
      <c r="G477" s="90" t="s">
        <v>194</v>
      </c>
      <c r="H477" s="16"/>
      <c r="I477" s="1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22.5" customHeight="1">
      <c r="A478" s="16" t="s">
        <v>1069</v>
      </c>
      <c r="B478" s="83" t="s">
        <v>1070</v>
      </c>
      <c r="C478" s="16"/>
      <c r="D478" s="16"/>
      <c r="E478" s="84" t="s">
        <v>27</v>
      </c>
      <c r="F478" s="75" t="s">
        <v>831</v>
      </c>
      <c r="G478" s="90" t="s">
        <v>194</v>
      </c>
      <c r="H478" s="16"/>
      <c r="I478" s="1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22.5" customHeight="1">
      <c r="A479" s="16" t="s">
        <v>1071</v>
      </c>
      <c r="B479" s="83" t="s">
        <v>1072</v>
      </c>
      <c r="C479" s="16"/>
      <c r="D479" s="16"/>
      <c r="E479" s="84" t="s">
        <v>27</v>
      </c>
      <c r="F479" s="75" t="s">
        <v>831</v>
      </c>
      <c r="G479" s="90" t="s">
        <v>194</v>
      </c>
      <c r="H479" s="16"/>
      <c r="I479" s="1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22.5" customHeight="1">
      <c r="A480" s="93" t="s">
        <v>1071</v>
      </c>
      <c r="B480" s="83" t="s">
        <v>1073</v>
      </c>
      <c r="C480" s="16"/>
      <c r="D480" s="16"/>
      <c r="E480" s="84"/>
      <c r="F480" s="75" t="s">
        <v>831</v>
      </c>
      <c r="G480" s="90"/>
      <c r="H480" s="16"/>
      <c r="I480" s="1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22.5" customHeight="1">
      <c r="A481" s="16" t="s">
        <v>1074</v>
      </c>
      <c r="B481" s="83" t="s">
        <v>1075</v>
      </c>
      <c r="C481" s="16"/>
      <c r="D481" s="16"/>
      <c r="E481" s="84"/>
      <c r="F481" s="75" t="s">
        <v>831</v>
      </c>
      <c r="G481" s="90" t="s">
        <v>194</v>
      </c>
      <c r="H481" s="16"/>
      <c r="I481" s="1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22.5" customHeight="1">
      <c r="A482" s="16" t="s">
        <v>1076</v>
      </c>
      <c r="B482" s="83" t="s">
        <v>1077</v>
      </c>
      <c r="C482" s="16"/>
      <c r="D482" s="16"/>
      <c r="E482" s="84"/>
      <c r="F482" s="75" t="s">
        <v>831</v>
      </c>
      <c r="G482" s="90" t="s">
        <v>194</v>
      </c>
      <c r="H482" s="16"/>
      <c r="I482" s="1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22.5" customHeight="1">
      <c r="A483" s="94" t="s">
        <v>1078</v>
      </c>
      <c r="B483" s="83" t="s">
        <v>1079</v>
      </c>
      <c r="C483" s="16"/>
      <c r="D483" s="16"/>
      <c r="E483" s="84"/>
      <c r="F483" s="75" t="s">
        <v>831</v>
      </c>
      <c r="G483" s="90" t="s">
        <v>194</v>
      </c>
      <c r="H483" s="16"/>
      <c r="I483" s="1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22.5" customHeight="1">
      <c r="A484" s="16" t="s">
        <v>1080</v>
      </c>
      <c r="B484" s="83" t="s">
        <v>1081</v>
      </c>
      <c r="C484" s="16"/>
      <c r="D484" s="16"/>
      <c r="E484" s="84" t="s">
        <v>27</v>
      </c>
      <c r="F484" s="75" t="s">
        <v>831</v>
      </c>
      <c r="G484" s="90" t="s">
        <v>194</v>
      </c>
      <c r="H484" s="16"/>
      <c r="I484" s="1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22.5" customHeight="1">
      <c r="A485" s="16" t="s">
        <v>1082</v>
      </c>
      <c r="B485" s="83" t="s">
        <v>1083</v>
      </c>
      <c r="C485" s="16"/>
      <c r="D485" s="16"/>
      <c r="E485" s="84" t="s">
        <v>408</v>
      </c>
      <c r="F485" s="75" t="s">
        <v>1084</v>
      </c>
      <c r="G485" s="90" t="s">
        <v>194</v>
      </c>
      <c r="H485" s="16"/>
      <c r="I485" s="1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22.5" customHeight="1">
      <c r="A486" s="16" t="s">
        <v>1085</v>
      </c>
      <c r="B486" s="16" t="s">
        <v>1086</v>
      </c>
      <c r="C486" s="16"/>
      <c r="D486" s="16"/>
      <c r="E486" s="84"/>
      <c r="F486" s="75" t="s">
        <v>1087</v>
      </c>
      <c r="G486" s="90" t="s">
        <v>194</v>
      </c>
      <c r="H486" s="16"/>
      <c r="I486" s="1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22.5" customHeight="1">
      <c r="A487" s="94" t="s">
        <v>1088</v>
      </c>
      <c r="B487" s="83" t="s">
        <v>1089</v>
      </c>
      <c r="C487" s="16"/>
      <c r="D487" s="16"/>
      <c r="E487" s="84"/>
      <c r="F487" s="75" t="s">
        <v>1087</v>
      </c>
      <c r="G487" s="90" t="s">
        <v>194</v>
      </c>
      <c r="H487" s="16"/>
      <c r="I487" s="1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22.5" customHeight="1">
      <c r="A488" s="16" t="s">
        <v>1090</v>
      </c>
      <c r="B488" s="83" t="s">
        <v>1091</v>
      </c>
      <c r="C488" s="16"/>
      <c r="D488" s="16"/>
      <c r="E488" s="84"/>
      <c r="F488" s="75" t="s">
        <v>1092</v>
      </c>
      <c r="G488" s="90"/>
      <c r="H488" s="16"/>
      <c r="I488" s="1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22.5" customHeight="1">
      <c r="A489" s="16" t="s">
        <v>1093</v>
      </c>
      <c r="B489" s="83" t="s">
        <v>1094</v>
      </c>
      <c r="C489" s="16"/>
      <c r="D489" s="16"/>
      <c r="E489" s="84"/>
      <c r="F489" s="75" t="s">
        <v>1092</v>
      </c>
      <c r="G489" s="90"/>
      <c r="H489" s="16"/>
      <c r="I489" s="1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22.5" customHeight="1">
      <c r="A490" s="16" t="s">
        <v>1095</v>
      </c>
      <c r="B490" s="83" t="s">
        <v>1096</v>
      </c>
      <c r="C490" s="16"/>
      <c r="D490" s="16"/>
      <c r="E490" s="84"/>
      <c r="F490" s="75" t="s">
        <v>1092</v>
      </c>
      <c r="G490" s="90"/>
      <c r="H490" s="16"/>
      <c r="I490" s="1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22.5" customHeight="1">
      <c r="A491" s="16" t="s">
        <v>1095</v>
      </c>
      <c r="B491" s="83" t="s">
        <v>1097</v>
      </c>
      <c r="C491" s="16"/>
      <c r="D491" s="16"/>
      <c r="E491" s="84"/>
      <c r="F491" s="75" t="s">
        <v>1092</v>
      </c>
      <c r="G491" s="90"/>
      <c r="H491" s="16"/>
      <c r="I491" s="1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22.5" customHeight="1">
      <c r="A492" s="16" t="s">
        <v>1098</v>
      </c>
      <c r="B492" s="83" t="s">
        <v>1099</v>
      </c>
      <c r="C492" s="16"/>
      <c r="D492" s="16"/>
      <c r="E492" s="84"/>
      <c r="F492" s="75" t="s">
        <v>1092</v>
      </c>
      <c r="G492" s="90"/>
      <c r="H492" s="16"/>
      <c r="I492" s="1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22.5" customHeight="1">
      <c r="A493" s="16" t="s">
        <v>1100</v>
      </c>
      <c r="B493" s="83" t="s">
        <v>1101</v>
      </c>
      <c r="C493" s="16"/>
      <c r="D493" s="16"/>
      <c r="E493" s="84"/>
      <c r="F493" s="75" t="s">
        <v>1092</v>
      </c>
      <c r="G493" s="90"/>
      <c r="H493" s="16"/>
      <c r="I493" s="1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22.5" customHeight="1">
      <c r="A494" s="16" t="s">
        <v>1102</v>
      </c>
      <c r="B494" s="83" t="s">
        <v>1103</v>
      </c>
      <c r="C494" s="16"/>
      <c r="D494" s="16"/>
      <c r="E494" s="84"/>
      <c r="F494" s="75" t="s">
        <v>1092</v>
      </c>
      <c r="G494" s="90"/>
      <c r="H494" s="16"/>
      <c r="I494" s="1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22.5" customHeight="1">
      <c r="A495" s="16" t="s">
        <v>1104</v>
      </c>
      <c r="B495" s="83" t="s">
        <v>1105</v>
      </c>
      <c r="C495" s="16"/>
      <c r="D495" s="16"/>
      <c r="E495" s="84"/>
      <c r="F495" s="75" t="s">
        <v>1092</v>
      </c>
      <c r="G495" s="90"/>
      <c r="H495" s="16"/>
      <c r="I495" s="1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22.5" customHeight="1">
      <c r="A496" s="16" t="s">
        <v>1106</v>
      </c>
      <c r="B496" s="83" t="s">
        <v>1107</v>
      </c>
      <c r="C496" s="16"/>
      <c r="D496" s="16"/>
      <c r="E496" s="84"/>
      <c r="F496" s="75" t="s">
        <v>1092</v>
      </c>
      <c r="G496" s="90"/>
      <c r="H496" s="16"/>
      <c r="I496" s="1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22.5" customHeight="1">
      <c r="A497" s="16" t="s">
        <v>1108</v>
      </c>
      <c r="B497" s="83" t="s">
        <v>1109</v>
      </c>
      <c r="C497" s="16"/>
      <c r="D497" s="16"/>
      <c r="E497" s="84"/>
      <c r="F497" s="75" t="s">
        <v>1092</v>
      </c>
      <c r="G497" s="90"/>
      <c r="H497" s="16"/>
      <c r="I497" s="1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22.5" customHeight="1">
      <c r="A498" s="16" t="s">
        <v>1110</v>
      </c>
      <c r="B498" s="83" t="s">
        <v>1111</v>
      </c>
      <c r="C498" s="16"/>
      <c r="D498" s="16"/>
      <c r="E498" s="84"/>
      <c r="F498" s="75" t="s">
        <v>1092</v>
      </c>
      <c r="G498" s="90"/>
      <c r="H498" s="16"/>
      <c r="I498" s="1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22.5" customHeight="1">
      <c r="A499" s="16" t="s">
        <v>1112</v>
      </c>
      <c r="B499" s="83" t="s">
        <v>1113</v>
      </c>
      <c r="C499" s="16"/>
      <c r="D499" s="16"/>
      <c r="E499" s="84"/>
      <c r="F499" s="75" t="s">
        <v>1092</v>
      </c>
      <c r="G499" s="90"/>
      <c r="H499" s="16"/>
      <c r="I499" s="1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22.5" customHeight="1">
      <c r="A500" s="16" t="s">
        <v>1114</v>
      </c>
      <c r="B500" s="83" t="s">
        <v>1115</v>
      </c>
      <c r="C500" s="16"/>
      <c r="D500" s="16"/>
      <c r="E500" s="84"/>
      <c r="F500" s="75" t="s">
        <v>1092</v>
      </c>
      <c r="G500" s="90"/>
      <c r="H500" s="16"/>
      <c r="I500" s="1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22.5" customHeight="1">
      <c r="A501" s="16" t="s">
        <v>1116</v>
      </c>
      <c r="B501" s="83" t="s">
        <v>1117</v>
      </c>
      <c r="C501" s="16"/>
      <c r="D501" s="16"/>
      <c r="E501" s="84"/>
      <c r="F501" s="75" t="s">
        <v>1092</v>
      </c>
      <c r="G501" s="90"/>
      <c r="H501" s="16"/>
      <c r="I501" s="1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22.5" customHeight="1">
      <c r="A502" s="16" t="s">
        <v>1118</v>
      </c>
      <c r="B502" s="83" t="s">
        <v>1119</v>
      </c>
      <c r="C502" s="16"/>
      <c r="D502" s="16"/>
      <c r="E502" s="84"/>
      <c r="F502" s="75" t="s">
        <v>1092</v>
      </c>
      <c r="G502" s="90"/>
      <c r="H502" s="16"/>
      <c r="I502" s="1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22.5" customHeight="1">
      <c r="A503" s="16" t="s">
        <v>1120</v>
      </c>
      <c r="B503" s="83" t="s">
        <v>1121</v>
      </c>
      <c r="C503" s="16"/>
      <c r="D503" s="16"/>
      <c r="E503" s="84"/>
      <c r="F503" s="75" t="s">
        <v>1092</v>
      </c>
      <c r="G503" s="90"/>
      <c r="H503" s="16"/>
      <c r="I503" s="1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22.5" customHeight="1">
      <c r="A504" s="16" t="s">
        <v>1122</v>
      </c>
      <c r="B504" s="83" t="s">
        <v>1123</v>
      </c>
      <c r="C504" s="16"/>
      <c r="D504" s="16"/>
      <c r="E504" s="84"/>
      <c r="F504" s="75" t="s">
        <v>1092</v>
      </c>
      <c r="G504" s="90"/>
      <c r="H504" s="16"/>
      <c r="I504" s="1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22.5" customHeight="1">
      <c r="A505" s="16" t="s">
        <v>1124</v>
      </c>
      <c r="B505" s="83" t="s">
        <v>1125</v>
      </c>
      <c r="C505" s="16"/>
      <c r="D505" s="16"/>
      <c r="E505" s="84"/>
      <c r="F505" s="75" t="s">
        <v>1092</v>
      </c>
      <c r="G505" s="90"/>
      <c r="H505" s="16"/>
      <c r="I505" s="1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22.5" customHeight="1">
      <c r="A506" s="16" t="s">
        <v>1126</v>
      </c>
      <c r="B506" s="83" t="s">
        <v>1127</v>
      </c>
      <c r="C506" s="16"/>
      <c r="D506" s="16"/>
      <c r="E506" s="84"/>
      <c r="F506" s="75" t="s">
        <v>1092</v>
      </c>
      <c r="G506" s="90"/>
      <c r="H506" s="16"/>
      <c r="I506" s="1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22.5" customHeight="1">
      <c r="A507" s="16" t="s">
        <v>1128</v>
      </c>
      <c r="B507" s="83" t="s">
        <v>1129</v>
      </c>
      <c r="C507" s="16"/>
      <c r="D507" s="16"/>
      <c r="E507" s="84"/>
      <c r="F507" s="75" t="s">
        <v>1092</v>
      </c>
      <c r="G507" s="90"/>
      <c r="H507" s="16"/>
      <c r="I507" s="1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22.5" customHeight="1">
      <c r="A508" s="16" t="s">
        <v>1130</v>
      </c>
      <c r="B508" s="83" t="s">
        <v>1131</v>
      </c>
      <c r="C508" s="16"/>
      <c r="D508" s="16"/>
      <c r="E508" s="84"/>
      <c r="F508" s="75" t="s">
        <v>1092</v>
      </c>
      <c r="G508" s="90"/>
      <c r="H508" s="16"/>
      <c r="I508" s="1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22.5" customHeight="1">
      <c r="A509" s="16" t="s">
        <v>1132</v>
      </c>
      <c r="B509" s="83" t="s">
        <v>1133</v>
      </c>
      <c r="C509" s="16"/>
      <c r="D509" s="16"/>
      <c r="E509" s="84"/>
      <c r="F509" s="75" t="s">
        <v>1092</v>
      </c>
      <c r="G509" s="90"/>
      <c r="H509" s="16"/>
      <c r="I509" s="1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22.5" customHeight="1">
      <c r="A510" s="16" t="s">
        <v>1134</v>
      </c>
      <c r="B510" s="83" t="s">
        <v>1135</v>
      </c>
      <c r="C510" s="16"/>
      <c r="D510" s="16"/>
      <c r="E510" s="84"/>
      <c r="F510" s="75" t="s">
        <v>1092</v>
      </c>
      <c r="G510" s="90"/>
      <c r="H510" s="16"/>
      <c r="I510" s="1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22.5" customHeight="1">
      <c r="A511" s="16" t="s">
        <v>1136</v>
      </c>
      <c r="B511" s="83" t="s">
        <v>1137</v>
      </c>
      <c r="C511" s="16"/>
      <c r="D511" s="16"/>
      <c r="E511" s="84"/>
      <c r="F511" s="75" t="s">
        <v>1092</v>
      </c>
      <c r="G511" s="90"/>
      <c r="H511" s="16"/>
      <c r="I511" s="1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22.5" customHeight="1">
      <c r="A512" s="16" t="s">
        <v>1138</v>
      </c>
      <c r="B512" s="83" t="s">
        <v>1139</v>
      </c>
      <c r="C512" s="16"/>
      <c r="D512" s="16"/>
      <c r="E512" s="84"/>
      <c r="F512" s="75" t="s">
        <v>1092</v>
      </c>
      <c r="G512" s="90"/>
      <c r="H512" s="16"/>
      <c r="I512" s="1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22.5" customHeight="1">
      <c r="A513" s="16" t="s">
        <v>1140</v>
      </c>
      <c r="B513" s="83" t="s">
        <v>1141</v>
      </c>
      <c r="C513" s="16"/>
      <c r="D513" s="16"/>
      <c r="E513" s="84"/>
      <c r="F513" s="75" t="s">
        <v>1092</v>
      </c>
      <c r="G513" s="90"/>
      <c r="H513" s="16"/>
      <c r="I513" s="1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22.5" customHeight="1">
      <c r="A514" s="16" t="s">
        <v>1142</v>
      </c>
      <c r="B514" s="83" t="s">
        <v>1143</v>
      </c>
      <c r="C514" s="16"/>
      <c r="D514" s="16"/>
      <c r="E514" s="84"/>
      <c r="F514" s="75" t="s">
        <v>1092</v>
      </c>
      <c r="G514" s="90"/>
      <c r="H514" s="16"/>
      <c r="I514" s="1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22.5" customHeight="1">
      <c r="A515" s="16" t="s">
        <v>1144</v>
      </c>
      <c r="B515" s="83" t="s">
        <v>1145</v>
      </c>
      <c r="C515" s="16"/>
      <c r="D515" s="16"/>
      <c r="E515" s="84"/>
      <c r="F515" s="75" t="s">
        <v>1092</v>
      </c>
      <c r="G515" s="90"/>
      <c r="H515" s="16"/>
      <c r="I515" s="1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22.5" customHeight="1">
      <c r="A516" s="16" t="s">
        <v>1146</v>
      </c>
      <c r="B516" s="83" t="s">
        <v>1147</v>
      </c>
      <c r="C516" s="16"/>
      <c r="D516" s="16"/>
      <c r="E516" s="84"/>
      <c r="F516" s="75" t="s">
        <v>1092</v>
      </c>
      <c r="G516" s="90"/>
      <c r="H516" s="16"/>
      <c r="I516" s="1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22.5" customHeight="1">
      <c r="A517" s="16" t="s">
        <v>1146</v>
      </c>
      <c r="B517" s="83" t="s">
        <v>1148</v>
      </c>
      <c r="C517" s="16"/>
      <c r="D517" s="16"/>
      <c r="E517" s="84"/>
      <c r="F517" s="75" t="s">
        <v>1092</v>
      </c>
      <c r="G517" s="90"/>
      <c r="H517" s="16"/>
      <c r="I517" s="1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22.5" customHeight="1">
      <c r="A518" s="16" t="s">
        <v>1149</v>
      </c>
      <c r="B518" s="83" t="s">
        <v>1150</v>
      </c>
      <c r="C518" s="16"/>
      <c r="D518" s="16"/>
      <c r="E518" s="84"/>
      <c r="F518" s="75" t="s">
        <v>1092</v>
      </c>
      <c r="G518" s="90"/>
      <c r="H518" s="16"/>
      <c r="I518" s="1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22.5" customHeight="1">
      <c r="A519" s="16" t="s">
        <v>1151</v>
      </c>
      <c r="B519" s="83" t="s">
        <v>1152</v>
      </c>
      <c r="C519" s="16"/>
      <c r="D519" s="16"/>
      <c r="E519" s="84"/>
      <c r="F519" s="75" t="s">
        <v>1092</v>
      </c>
      <c r="G519" s="90"/>
      <c r="H519" s="16"/>
      <c r="I519" s="1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22.5" customHeight="1">
      <c r="A520" s="16" t="s">
        <v>1153</v>
      </c>
      <c r="B520" s="83" t="s">
        <v>1154</v>
      </c>
      <c r="C520" s="16"/>
      <c r="D520" s="16"/>
      <c r="E520" s="84"/>
      <c r="F520" s="75" t="s">
        <v>1155</v>
      </c>
      <c r="G520" s="90" t="s">
        <v>194</v>
      </c>
      <c r="H520" s="16"/>
      <c r="I520" s="1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22.5" customHeight="1">
      <c r="A521" s="16" t="s">
        <v>1156</v>
      </c>
      <c r="B521" s="16" t="s">
        <v>1157</v>
      </c>
      <c r="C521" s="16"/>
      <c r="D521" s="16"/>
      <c r="E521" s="84"/>
      <c r="F521" s="75" t="s">
        <v>1155</v>
      </c>
      <c r="G521" s="90" t="s">
        <v>194</v>
      </c>
      <c r="H521" s="16"/>
      <c r="I521" s="1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22.5" customHeight="1">
      <c r="A522" s="16" t="s">
        <v>1158</v>
      </c>
      <c r="B522" s="83" t="s">
        <v>1159</v>
      </c>
      <c r="C522" s="16"/>
      <c r="D522" s="16"/>
      <c r="E522" s="84"/>
      <c r="F522" s="75" t="s">
        <v>1155</v>
      </c>
      <c r="G522" s="90" t="s">
        <v>194</v>
      </c>
      <c r="H522" s="16"/>
      <c r="I522" s="1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22.5" customHeight="1">
      <c r="A523" s="16" t="s">
        <v>1160</v>
      </c>
      <c r="B523" s="83" t="s">
        <v>1161</v>
      </c>
      <c r="C523" s="16"/>
      <c r="D523" s="16"/>
      <c r="E523" s="84"/>
      <c r="F523" s="75" t="s">
        <v>1155</v>
      </c>
      <c r="G523" s="90" t="s">
        <v>194</v>
      </c>
      <c r="H523" s="16"/>
      <c r="I523" s="1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22.5" customHeight="1">
      <c r="A524" s="16" t="s">
        <v>1162</v>
      </c>
      <c r="B524" s="83" t="s">
        <v>1163</v>
      </c>
      <c r="C524" s="16"/>
      <c r="D524" s="16"/>
      <c r="E524" s="84"/>
      <c r="F524" s="75" t="s">
        <v>1155</v>
      </c>
      <c r="G524" s="90" t="s">
        <v>194</v>
      </c>
      <c r="H524" s="16"/>
      <c r="I524" s="1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22.5" customHeight="1">
      <c r="A525" s="16" t="s">
        <v>1164</v>
      </c>
      <c r="B525" s="83" t="s">
        <v>1165</v>
      </c>
      <c r="C525" s="16"/>
      <c r="D525" s="16"/>
      <c r="E525" s="84"/>
      <c r="F525" s="75" t="s">
        <v>1155</v>
      </c>
      <c r="G525" s="90" t="s">
        <v>194</v>
      </c>
      <c r="H525" s="16"/>
      <c r="I525" s="1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22.5" customHeight="1">
      <c r="A526" s="16" t="s">
        <v>1166</v>
      </c>
      <c r="B526" s="83" t="s">
        <v>1167</v>
      </c>
      <c r="C526" s="16"/>
      <c r="D526" s="16"/>
      <c r="E526" s="84"/>
      <c r="F526" s="75" t="s">
        <v>1155</v>
      </c>
      <c r="G526" s="90" t="s">
        <v>194</v>
      </c>
      <c r="H526" s="16"/>
      <c r="I526" s="1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22.5" customHeight="1">
      <c r="A527" s="16" t="s">
        <v>1168</v>
      </c>
      <c r="B527" s="16" t="s">
        <v>1169</v>
      </c>
      <c r="C527" s="16"/>
      <c r="D527" s="16"/>
      <c r="E527" s="84"/>
      <c r="F527" s="75" t="s">
        <v>1155</v>
      </c>
      <c r="G527" s="90" t="s">
        <v>194</v>
      </c>
      <c r="H527" s="16"/>
      <c r="I527" s="1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22.5" customHeight="1">
      <c r="A528" s="16" t="s">
        <v>1170</v>
      </c>
      <c r="B528" s="83" t="s">
        <v>1171</v>
      </c>
      <c r="C528" s="16"/>
      <c r="D528" s="16"/>
      <c r="E528" s="84"/>
      <c r="F528" s="75" t="s">
        <v>1155</v>
      </c>
      <c r="G528" s="90" t="s">
        <v>194</v>
      </c>
      <c r="H528" s="16"/>
      <c r="I528" s="1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22.5" customHeight="1">
      <c r="A529" s="16" t="s">
        <v>1172</v>
      </c>
      <c r="B529" s="16" t="s">
        <v>1173</v>
      </c>
      <c r="C529" s="16"/>
      <c r="D529" s="16"/>
      <c r="E529" s="84"/>
      <c r="F529" s="75" t="s">
        <v>1174</v>
      </c>
      <c r="G529" s="90" t="s">
        <v>194</v>
      </c>
      <c r="H529" s="16"/>
      <c r="I529" s="1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22.5" customHeight="1">
      <c r="A530" s="16" t="s">
        <v>1175</v>
      </c>
      <c r="B530" s="83" t="s">
        <v>1176</v>
      </c>
      <c r="C530" s="16"/>
      <c r="D530" s="16"/>
      <c r="E530" s="84"/>
      <c r="F530" s="75" t="s">
        <v>1174</v>
      </c>
      <c r="G530" s="90" t="s">
        <v>194</v>
      </c>
      <c r="H530" s="16"/>
      <c r="I530" s="1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22.5" customHeight="1">
      <c r="A531" s="16" t="s">
        <v>1177</v>
      </c>
      <c r="B531" s="16" t="s">
        <v>1178</v>
      </c>
      <c r="C531" s="16"/>
      <c r="D531" s="16"/>
      <c r="E531" s="84"/>
      <c r="F531" s="75" t="s">
        <v>1174</v>
      </c>
      <c r="G531" s="90" t="s">
        <v>194</v>
      </c>
      <c r="H531" s="16"/>
      <c r="I531" s="1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22.5" customHeight="1">
      <c r="A532" s="94" t="s">
        <v>1179</v>
      </c>
      <c r="B532" s="83" t="s">
        <v>1180</v>
      </c>
      <c r="C532" s="16"/>
      <c r="D532" s="16"/>
      <c r="E532" s="84"/>
      <c r="F532" s="75" t="s">
        <v>1174</v>
      </c>
      <c r="G532" s="90" t="s">
        <v>194</v>
      </c>
      <c r="H532" s="16"/>
      <c r="I532" s="1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22.5" customHeight="1">
      <c r="A533" s="16" t="s">
        <v>1181</v>
      </c>
      <c r="B533" s="83" t="s">
        <v>1182</v>
      </c>
      <c r="C533" s="16"/>
      <c r="D533" s="16"/>
      <c r="E533" s="84" t="s">
        <v>27</v>
      </c>
      <c r="F533" s="75" t="s">
        <v>1183</v>
      </c>
      <c r="G533" s="90" t="s">
        <v>832</v>
      </c>
      <c r="H533" s="16"/>
      <c r="I533" s="1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22.5" customHeight="1">
      <c r="A534" s="16" t="s">
        <v>1181</v>
      </c>
      <c r="B534" s="83" t="s">
        <v>1184</v>
      </c>
      <c r="C534" s="16"/>
      <c r="D534" s="16"/>
      <c r="E534" s="84"/>
      <c r="F534" s="75" t="s">
        <v>1183</v>
      </c>
      <c r="G534" s="90" t="s">
        <v>832</v>
      </c>
      <c r="H534" s="16"/>
      <c r="I534" s="1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22.5" customHeight="1">
      <c r="A535" s="16" t="s">
        <v>1185</v>
      </c>
      <c r="B535" s="16"/>
      <c r="C535" s="16"/>
      <c r="D535" s="16"/>
      <c r="E535" s="84"/>
      <c r="F535" s="75"/>
      <c r="G535" s="90"/>
      <c r="H535" s="16"/>
      <c r="I535" s="1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22.5" customHeight="1">
      <c r="A536" s="16" t="s">
        <v>1186</v>
      </c>
      <c r="B536" s="16"/>
      <c r="C536" s="16"/>
      <c r="D536" s="16"/>
      <c r="E536" s="84"/>
      <c r="F536" s="75"/>
      <c r="G536" s="90"/>
      <c r="H536" s="16"/>
      <c r="I536" s="1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22.5" customHeight="1">
      <c r="A537" s="16" t="s">
        <v>1187</v>
      </c>
      <c r="B537" s="16"/>
      <c r="C537" s="16"/>
      <c r="D537" s="16"/>
      <c r="E537" s="84"/>
      <c r="F537" s="75"/>
      <c r="G537" s="90"/>
      <c r="H537" s="16"/>
      <c r="I537" s="1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22.5" customHeight="1">
      <c r="A538" s="16" t="s">
        <v>1188</v>
      </c>
      <c r="B538" s="16"/>
      <c r="C538" s="16"/>
      <c r="D538" s="16"/>
      <c r="E538" s="84"/>
      <c r="F538" s="75"/>
      <c r="G538" s="90"/>
      <c r="H538" s="16"/>
      <c r="I538" s="1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22.5" customHeight="1">
      <c r="A539" s="16" t="s">
        <v>1189</v>
      </c>
      <c r="B539" s="83" t="s">
        <v>1190</v>
      </c>
      <c r="C539" s="16"/>
      <c r="D539" s="16"/>
      <c r="E539" s="84"/>
      <c r="F539" s="75"/>
      <c r="G539" s="90" t="s">
        <v>832</v>
      </c>
      <c r="H539" s="16"/>
      <c r="I539" s="1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22.5" customHeight="1">
      <c r="A540" s="16" t="s">
        <v>1191</v>
      </c>
      <c r="B540" s="16"/>
      <c r="C540" s="16"/>
      <c r="D540" s="16"/>
      <c r="E540" s="84"/>
      <c r="F540" s="75"/>
      <c r="G540" s="90"/>
      <c r="H540" s="16"/>
      <c r="I540" s="1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22.5" customHeight="1">
      <c r="A541" s="16" t="s">
        <v>1192</v>
      </c>
      <c r="B541" s="16"/>
      <c r="C541" s="16"/>
      <c r="D541" s="16"/>
      <c r="E541" s="84"/>
      <c r="F541" s="75"/>
      <c r="G541" s="90"/>
      <c r="H541" s="16"/>
      <c r="I541" s="1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22.5" customHeight="1">
      <c r="A542" s="16" t="s">
        <v>1193</v>
      </c>
      <c r="B542" s="83" t="s">
        <v>1194</v>
      </c>
      <c r="C542" s="16"/>
      <c r="D542" s="16"/>
      <c r="E542" s="84"/>
      <c r="F542" s="75"/>
      <c r="G542" s="90" t="s">
        <v>832</v>
      </c>
      <c r="H542" s="16"/>
      <c r="I542" s="1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22.5" customHeight="1">
      <c r="A543" s="16" t="s">
        <v>1195</v>
      </c>
      <c r="B543" s="16"/>
      <c r="C543" s="16"/>
      <c r="D543" s="16"/>
      <c r="E543" s="84"/>
      <c r="F543" s="75"/>
      <c r="G543" s="90"/>
      <c r="H543" s="16"/>
      <c r="I543" s="1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22.5" customHeight="1">
      <c r="A544" s="10"/>
      <c r="B544" s="16"/>
      <c r="C544" s="16"/>
      <c r="D544" s="16"/>
      <c r="E544" s="84"/>
      <c r="F544" s="75"/>
      <c r="G544" s="75"/>
      <c r="H544" s="16"/>
      <c r="I544" s="1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3"/>
      <c r="B545" s="3"/>
      <c r="C545" s="3"/>
      <c r="D545" s="3"/>
      <c r="E545" s="3"/>
      <c r="F545" s="3"/>
      <c r="G545" s="3"/>
      <c r="H545" s="3"/>
      <c r="I545" s="9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3"/>
      <c r="B546" s="3"/>
      <c r="C546" s="3"/>
      <c r="D546" s="3"/>
      <c r="E546" s="3"/>
      <c r="F546" s="3"/>
      <c r="G546" s="3"/>
      <c r="H546" s="3"/>
      <c r="I546" s="9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3"/>
      <c r="B547" s="3"/>
      <c r="C547" s="3"/>
      <c r="D547" s="3"/>
      <c r="E547" s="3"/>
      <c r="F547" s="3"/>
      <c r="G547" s="3"/>
      <c r="H547" s="3"/>
      <c r="I547" s="9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3"/>
      <c r="B548" s="3"/>
      <c r="C548" s="3"/>
      <c r="D548" s="3"/>
      <c r="E548" s="3"/>
      <c r="F548" s="3"/>
      <c r="G548" s="3"/>
      <c r="H548" s="3"/>
      <c r="I548" s="9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3"/>
      <c r="B549" s="3"/>
      <c r="C549" s="3"/>
      <c r="D549" s="3"/>
      <c r="E549" s="3"/>
      <c r="F549" s="3"/>
      <c r="G549" s="3"/>
      <c r="H549" s="3"/>
      <c r="I549" s="9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3"/>
      <c r="B550" s="3"/>
      <c r="C550" s="3"/>
      <c r="D550" s="3"/>
      <c r="E550" s="3"/>
      <c r="F550" s="3"/>
      <c r="G550" s="3"/>
      <c r="H550" s="3"/>
      <c r="I550" s="9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3"/>
      <c r="B551" s="3"/>
      <c r="C551" s="3"/>
      <c r="D551" s="3"/>
      <c r="E551" s="3"/>
      <c r="F551" s="3"/>
      <c r="G551" s="3"/>
      <c r="H551" s="3"/>
      <c r="I551" s="9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3"/>
      <c r="B552" s="3"/>
      <c r="C552" s="3"/>
      <c r="D552" s="3"/>
      <c r="E552" s="3"/>
      <c r="F552" s="3"/>
      <c r="G552" s="3"/>
      <c r="H552" s="3"/>
      <c r="I552" s="9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3"/>
      <c r="B553" s="3"/>
      <c r="C553" s="3"/>
      <c r="D553" s="3"/>
      <c r="E553" s="3"/>
      <c r="F553" s="3"/>
      <c r="G553" s="3"/>
      <c r="H553" s="3"/>
      <c r="I553" s="9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3"/>
      <c r="B554" s="3"/>
      <c r="C554" s="3"/>
      <c r="D554" s="3"/>
      <c r="E554" s="3"/>
      <c r="F554" s="3"/>
      <c r="G554" s="3"/>
      <c r="H554" s="3"/>
      <c r="I554" s="9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3"/>
      <c r="B555" s="3"/>
      <c r="C555" s="3"/>
      <c r="D555" s="3"/>
      <c r="E555" s="3"/>
      <c r="F555" s="3"/>
      <c r="G555" s="3"/>
      <c r="H555" s="3"/>
      <c r="I555" s="9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3"/>
      <c r="B556" s="3"/>
      <c r="C556" s="3"/>
      <c r="D556" s="3"/>
      <c r="E556" s="3"/>
      <c r="F556" s="3"/>
      <c r="G556" s="3"/>
      <c r="H556" s="3"/>
      <c r="I556" s="9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3"/>
      <c r="B557" s="3"/>
      <c r="C557" s="3"/>
      <c r="D557" s="3"/>
      <c r="E557" s="3"/>
      <c r="F557" s="3"/>
      <c r="G557" s="3"/>
      <c r="H557" s="3"/>
      <c r="I557" s="9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3"/>
      <c r="B558" s="3"/>
      <c r="C558" s="3"/>
      <c r="D558" s="3"/>
      <c r="E558" s="3"/>
      <c r="F558" s="3"/>
      <c r="G558" s="3"/>
      <c r="H558" s="3"/>
      <c r="I558" s="9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3"/>
      <c r="B559" s="3"/>
      <c r="C559" s="3"/>
      <c r="D559" s="3"/>
      <c r="E559" s="3"/>
      <c r="F559" s="3"/>
      <c r="G559" s="3"/>
      <c r="H559" s="3"/>
      <c r="I559" s="9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3"/>
      <c r="B560" s="3"/>
      <c r="C560" s="3"/>
      <c r="D560" s="3"/>
      <c r="E560" s="3"/>
      <c r="F560" s="3"/>
      <c r="G560" s="3"/>
      <c r="H560" s="3"/>
      <c r="I560" s="9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3"/>
      <c r="B561" s="3"/>
      <c r="C561" s="3"/>
      <c r="D561" s="3"/>
      <c r="E561" s="3"/>
      <c r="F561" s="3"/>
      <c r="G561" s="3"/>
      <c r="H561" s="3"/>
      <c r="I561" s="9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3"/>
      <c r="B562" s="3"/>
      <c r="C562" s="3"/>
      <c r="D562" s="3"/>
      <c r="E562" s="3"/>
      <c r="F562" s="3"/>
      <c r="G562" s="3"/>
      <c r="H562" s="3"/>
      <c r="I562" s="9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3"/>
      <c r="B563" s="3"/>
      <c r="C563" s="3"/>
      <c r="D563" s="3"/>
      <c r="E563" s="3"/>
      <c r="F563" s="3"/>
      <c r="G563" s="3"/>
      <c r="H563" s="3"/>
      <c r="I563" s="9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3"/>
      <c r="B564" s="3"/>
      <c r="C564" s="3"/>
      <c r="D564" s="3"/>
      <c r="E564" s="3"/>
      <c r="F564" s="3"/>
      <c r="G564" s="3"/>
      <c r="H564" s="3"/>
      <c r="I564" s="9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3"/>
      <c r="B565" s="3"/>
      <c r="C565" s="3"/>
      <c r="D565" s="3"/>
      <c r="E565" s="3"/>
      <c r="F565" s="3"/>
      <c r="G565" s="3"/>
      <c r="H565" s="3"/>
      <c r="I565" s="9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3"/>
      <c r="B566" s="3"/>
      <c r="C566" s="3"/>
      <c r="D566" s="3"/>
      <c r="E566" s="3"/>
      <c r="F566" s="3"/>
      <c r="G566" s="3"/>
      <c r="H566" s="3"/>
      <c r="I566" s="9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3"/>
      <c r="B567" s="3"/>
      <c r="C567" s="3"/>
      <c r="D567" s="3"/>
      <c r="E567" s="3"/>
      <c r="F567" s="3"/>
      <c r="G567" s="3"/>
      <c r="H567" s="3"/>
      <c r="I567" s="9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3"/>
      <c r="B568" s="3"/>
      <c r="C568" s="3"/>
      <c r="D568" s="3"/>
      <c r="E568" s="3"/>
      <c r="F568" s="3"/>
      <c r="G568" s="3"/>
      <c r="H568" s="3"/>
      <c r="I568" s="9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3"/>
      <c r="B569" s="3"/>
      <c r="C569" s="3"/>
      <c r="D569" s="3"/>
      <c r="E569" s="3"/>
      <c r="F569" s="3"/>
      <c r="G569" s="3"/>
      <c r="H569" s="3"/>
      <c r="I569" s="9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3"/>
      <c r="B570" s="3"/>
      <c r="C570" s="3"/>
      <c r="D570" s="3"/>
      <c r="E570" s="3"/>
      <c r="F570" s="3"/>
      <c r="G570" s="3"/>
      <c r="H570" s="3"/>
      <c r="I570" s="9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3"/>
      <c r="B571" s="3"/>
      <c r="C571" s="3"/>
      <c r="D571" s="3"/>
      <c r="E571" s="3"/>
      <c r="F571" s="3"/>
      <c r="G571" s="3"/>
      <c r="H571" s="3"/>
      <c r="I571" s="9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3"/>
      <c r="B572" s="3"/>
      <c r="C572" s="3"/>
      <c r="D572" s="3"/>
      <c r="E572" s="3"/>
      <c r="F572" s="3"/>
      <c r="G572" s="3"/>
      <c r="H572" s="3"/>
      <c r="I572" s="9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3"/>
      <c r="B573" s="3"/>
      <c r="C573" s="3"/>
      <c r="D573" s="3"/>
      <c r="E573" s="3"/>
      <c r="F573" s="3"/>
      <c r="G573" s="3"/>
      <c r="H573" s="3"/>
      <c r="I573" s="9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3"/>
      <c r="B574" s="3"/>
      <c r="C574" s="3"/>
      <c r="D574" s="3"/>
      <c r="E574" s="3"/>
      <c r="F574" s="3"/>
      <c r="G574" s="3"/>
      <c r="H574" s="3"/>
      <c r="I574" s="9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3"/>
      <c r="B575" s="3"/>
      <c r="C575" s="3"/>
      <c r="D575" s="3"/>
      <c r="E575" s="3"/>
      <c r="F575" s="3"/>
      <c r="G575" s="3"/>
      <c r="H575" s="3"/>
      <c r="I575" s="9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3"/>
      <c r="B576" s="3"/>
      <c r="C576" s="3"/>
      <c r="D576" s="3"/>
      <c r="E576" s="3"/>
      <c r="F576" s="3"/>
      <c r="G576" s="3"/>
      <c r="H576" s="3"/>
      <c r="I576" s="9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3"/>
      <c r="B577" s="3"/>
      <c r="C577" s="3"/>
      <c r="D577" s="3"/>
      <c r="E577" s="3"/>
      <c r="F577" s="3"/>
      <c r="G577" s="3"/>
      <c r="H577" s="3"/>
      <c r="I577" s="97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3"/>
      <c r="B578" s="3"/>
      <c r="C578" s="3"/>
      <c r="D578" s="3"/>
      <c r="E578" s="3"/>
      <c r="F578" s="3"/>
      <c r="G578" s="3"/>
      <c r="H578" s="3"/>
      <c r="I578" s="97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3"/>
      <c r="B579" s="3"/>
      <c r="C579" s="3"/>
      <c r="D579" s="3"/>
      <c r="E579" s="3"/>
      <c r="F579" s="3"/>
      <c r="G579" s="3"/>
      <c r="H579" s="3"/>
      <c r="I579" s="97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3"/>
      <c r="B580" s="3"/>
      <c r="C580" s="3"/>
      <c r="D580" s="3"/>
      <c r="E580" s="3"/>
      <c r="F580" s="3"/>
      <c r="G580" s="3"/>
      <c r="H580" s="3"/>
      <c r="I580" s="97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3"/>
      <c r="B581" s="3"/>
      <c r="C581" s="3"/>
      <c r="D581" s="3"/>
      <c r="E581" s="3"/>
      <c r="F581" s="3"/>
      <c r="G581" s="3"/>
      <c r="H581" s="3"/>
      <c r="I581" s="97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3"/>
      <c r="B582" s="3"/>
      <c r="C582" s="3"/>
      <c r="D582" s="3"/>
      <c r="E582" s="3"/>
      <c r="F582" s="3"/>
      <c r="G582" s="3"/>
      <c r="H582" s="3"/>
      <c r="I582" s="97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3"/>
      <c r="B583" s="3"/>
      <c r="C583" s="3"/>
      <c r="D583" s="3"/>
      <c r="E583" s="3"/>
      <c r="F583" s="3"/>
      <c r="G583" s="3"/>
      <c r="H583" s="3"/>
      <c r="I583" s="97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3"/>
      <c r="B584" s="3"/>
      <c r="C584" s="3"/>
      <c r="D584" s="3"/>
      <c r="E584" s="3"/>
      <c r="F584" s="3"/>
      <c r="G584" s="3"/>
      <c r="H584" s="3"/>
      <c r="I584" s="97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3"/>
      <c r="B585" s="3"/>
      <c r="C585" s="3"/>
      <c r="D585" s="3"/>
      <c r="E585" s="3"/>
      <c r="F585" s="3"/>
      <c r="G585" s="3"/>
      <c r="H585" s="3"/>
      <c r="I585" s="97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3"/>
      <c r="B586" s="3"/>
      <c r="C586" s="3"/>
      <c r="D586" s="3"/>
      <c r="E586" s="3"/>
      <c r="F586" s="3"/>
      <c r="G586" s="3"/>
      <c r="H586" s="3"/>
      <c r="I586" s="97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3"/>
      <c r="B587" s="3"/>
      <c r="C587" s="3"/>
      <c r="D587" s="3"/>
      <c r="E587" s="3"/>
      <c r="F587" s="3"/>
      <c r="G587" s="3"/>
      <c r="H587" s="3"/>
      <c r="I587" s="97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3"/>
      <c r="B588" s="3"/>
      <c r="C588" s="3"/>
      <c r="D588" s="3"/>
      <c r="E588" s="3"/>
      <c r="F588" s="3"/>
      <c r="G588" s="3"/>
      <c r="H588" s="3"/>
      <c r="I588" s="97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3"/>
      <c r="B589" s="3"/>
      <c r="C589" s="3"/>
      <c r="D589" s="3"/>
      <c r="E589" s="3"/>
      <c r="F589" s="3"/>
      <c r="G589" s="3"/>
      <c r="H589" s="3"/>
      <c r="I589" s="97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3"/>
      <c r="B590" s="3"/>
      <c r="C590" s="3"/>
      <c r="D590" s="3"/>
      <c r="E590" s="3"/>
      <c r="F590" s="3"/>
      <c r="G590" s="3"/>
      <c r="H590" s="3"/>
      <c r="I590" s="97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3"/>
      <c r="B591" s="3"/>
      <c r="C591" s="3"/>
      <c r="D591" s="3"/>
      <c r="E591" s="3"/>
      <c r="F591" s="3"/>
      <c r="G591" s="3"/>
      <c r="H591" s="3"/>
      <c r="I591" s="97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3"/>
      <c r="B592" s="3"/>
      <c r="C592" s="3"/>
      <c r="D592" s="3"/>
      <c r="E592" s="3"/>
      <c r="F592" s="3"/>
      <c r="G592" s="3"/>
      <c r="H592" s="3"/>
      <c r="I592" s="97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3"/>
      <c r="B593" s="3"/>
      <c r="C593" s="3"/>
      <c r="D593" s="3"/>
      <c r="E593" s="3"/>
      <c r="F593" s="3"/>
      <c r="G593" s="3"/>
      <c r="H593" s="3"/>
      <c r="I593" s="97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3"/>
      <c r="B594" s="3"/>
      <c r="C594" s="3"/>
      <c r="D594" s="3"/>
      <c r="E594" s="3"/>
      <c r="F594" s="3"/>
      <c r="G594" s="3"/>
      <c r="H594" s="3"/>
      <c r="I594" s="97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3"/>
      <c r="B595" s="3"/>
      <c r="C595" s="3"/>
      <c r="D595" s="3"/>
      <c r="E595" s="3"/>
      <c r="F595" s="3"/>
      <c r="G595" s="3"/>
      <c r="H595" s="3"/>
      <c r="I595" s="97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3"/>
      <c r="B596" s="3"/>
      <c r="C596" s="3"/>
      <c r="D596" s="3"/>
      <c r="E596" s="3"/>
      <c r="F596" s="3"/>
      <c r="G596" s="3"/>
      <c r="H596" s="3"/>
      <c r="I596" s="97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3"/>
      <c r="B597" s="3"/>
      <c r="C597" s="3"/>
      <c r="D597" s="3"/>
      <c r="E597" s="3"/>
      <c r="F597" s="3"/>
      <c r="G597" s="3"/>
      <c r="H597" s="3"/>
      <c r="I597" s="97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3"/>
      <c r="B598" s="3"/>
      <c r="C598" s="3"/>
      <c r="D598" s="3"/>
      <c r="E598" s="3"/>
      <c r="F598" s="3"/>
      <c r="G598" s="3"/>
      <c r="H598" s="3"/>
      <c r="I598" s="97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3"/>
      <c r="B599" s="3"/>
      <c r="C599" s="3"/>
      <c r="D599" s="3"/>
      <c r="E599" s="3"/>
      <c r="F599" s="3"/>
      <c r="G599" s="3"/>
      <c r="H599" s="3"/>
      <c r="I599" s="97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3"/>
      <c r="B600" s="3"/>
      <c r="C600" s="3"/>
      <c r="D600" s="3"/>
      <c r="E600" s="3"/>
      <c r="F600" s="3"/>
      <c r="G600" s="3"/>
      <c r="H600" s="3"/>
      <c r="I600" s="97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3"/>
      <c r="B601" s="3"/>
      <c r="C601" s="3"/>
      <c r="D601" s="3"/>
      <c r="E601" s="3"/>
      <c r="F601" s="3"/>
      <c r="G601" s="3"/>
      <c r="H601" s="3"/>
      <c r="I601" s="97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3"/>
      <c r="B602" s="3"/>
      <c r="C602" s="3"/>
      <c r="D602" s="3"/>
      <c r="E602" s="3"/>
      <c r="F602" s="3"/>
      <c r="G602" s="3"/>
      <c r="H602" s="3"/>
      <c r="I602" s="97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3"/>
      <c r="B603" s="3"/>
      <c r="C603" s="3"/>
      <c r="D603" s="3"/>
      <c r="E603" s="3"/>
      <c r="F603" s="3"/>
      <c r="G603" s="3"/>
      <c r="H603" s="3"/>
      <c r="I603" s="97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3"/>
      <c r="B604" s="3"/>
      <c r="C604" s="3"/>
      <c r="D604" s="3"/>
      <c r="E604" s="3"/>
      <c r="F604" s="3"/>
      <c r="G604" s="3"/>
      <c r="H604" s="3"/>
      <c r="I604" s="97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3"/>
      <c r="B605" s="3"/>
      <c r="C605" s="3"/>
      <c r="D605" s="3"/>
      <c r="E605" s="3"/>
      <c r="F605" s="3"/>
      <c r="G605" s="3"/>
      <c r="H605" s="3"/>
      <c r="I605" s="97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3"/>
      <c r="B606" s="3"/>
      <c r="C606" s="3"/>
      <c r="D606" s="3"/>
      <c r="E606" s="3"/>
      <c r="F606" s="3"/>
      <c r="G606" s="3"/>
      <c r="H606" s="3"/>
      <c r="I606" s="97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3"/>
      <c r="B607" s="3"/>
      <c r="C607" s="3"/>
      <c r="D607" s="3"/>
      <c r="E607" s="3"/>
      <c r="F607" s="3"/>
      <c r="G607" s="3"/>
      <c r="H607" s="3"/>
      <c r="I607" s="97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3"/>
      <c r="B608" s="3"/>
      <c r="C608" s="3"/>
      <c r="D608" s="3"/>
      <c r="E608" s="3"/>
      <c r="F608" s="3"/>
      <c r="G608" s="3"/>
      <c r="H608" s="3"/>
      <c r="I608" s="97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3"/>
      <c r="B609" s="3"/>
      <c r="C609" s="3"/>
      <c r="D609" s="3"/>
      <c r="E609" s="3"/>
      <c r="F609" s="3"/>
      <c r="G609" s="3"/>
      <c r="H609" s="3"/>
      <c r="I609" s="97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3"/>
      <c r="B610" s="3"/>
      <c r="C610" s="3"/>
      <c r="D610" s="3"/>
      <c r="E610" s="3"/>
      <c r="F610" s="3"/>
      <c r="G610" s="3"/>
      <c r="H610" s="3"/>
      <c r="I610" s="97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3"/>
      <c r="B611" s="3"/>
      <c r="C611" s="3"/>
      <c r="D611" s="3"/>
      <c r="E611" s="3"/>
      <c r="F611" s="3"/>
      <c r="G611" s="3"/>
      <c r="H611" s="3"/>
      <c r="I611" s="97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3"/>
      <c r="B612" s="3"/>
      <c r="C612" s="3"/>
      <c r="D612" s="3"/>
      <c r="E612" s="3"/>
      <c r="F612" s="3"/>
      <c r="G612" s="3"/>
      <c r="H612" s="3"/>
      <c r="I612" s="97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3"/>
      <c r="B613" s="3"/>
      <c r="C613" s="3"/>
      <c r="D613" s="3"/>
      <c r="E613" s="3"/>
      <c r="F613" s="3"/>
      <c r="G613" s="3"/>
      <c r="H613" s="3"/>
      <c r="I613" s="97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3"/>
      <c r="B614" s="3"/>
      <c r="C614" s="3"/>
      <c r="D614" s="3"/>
      <c r="E614" s="3"/>
      <c r="F614" s="3"/>
      <c r="G614" s="3"/>
      <c r="H614" s="3"/>
      <c r="I614" s="97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3"/>
      <c r="B615" s="3"/>
      <c r="C615" s="3"/>
      <c r="D615" s="3"/>
      <c r="E615" s="3"/>
      <c r="F615" s="3"/>
      <c r="G615" s="3"/>
      <c r="H615" s="3"/>
      <c r="I615" s="97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3"/>
      <c r="B616" s="3"/>
      <c r="C616" s="3"/>
      <c r="D616" s="3"/>
      <c r="E616" s="3"/>
      <c r="F616" s="3"/>
      <c r="G616" s="3"/>
      <c r="H616" s="3"/>
      <c r="I616" s="97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3"/>
      <c r="B617" s="3"/>
      <c r="C617" s="3"/>
      <c r="D617" s="3"/>
      <c r="E617" s="3"/>
      <c r="F617" s="3"/>
      <c r="G617" s="3"/>
      <c r="H617" s="3"/>
      <c r="I617" s="97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3"/>
      <c r="B618" s="3"/>
      <c r="C618" s="3"/>
      <c r="D618" s="3"/>
      <c r="E618" s="3"/>
      <c r="F618" s="3"/>
      <c r="G618" s="3"/>
      <c r="H618" s="3"/>
      <c r="I618" s="97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3"/>
      <c r="B619" s="3"/>
      <c r="C619" s="3"/>
      <c r="D619" s="3"/>
      <c r="E619" s="3"/>
      <c r="F619" s="3"/>
      <c r="G619" s="3"/>
      <c r="H619" s="3"/>
      <c r="I619" s="97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3"/>
      <c r="B620" s="3"/>
      <c r="C620" s="3"/>
      <c r="D620" s="3"/>
      <c r="E620" s="3"/>
      <c r="F620" s="3"/>
      <c r="G620" s="3"/>
      <c r="H620" s="3"/>
      <c r="I620" s="97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3"/>
      <c r="B621" s="3"/>
      <c r="C621" s="3"/>
      <c r="D621" s="3"/>
      <c r="E621" s="3"/>
      <c r="F621" s="3"/>
      <c r="G621" s="3"/>
      <c r="H621" s="3"/>
      <c r="I621" s="97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3"/>
      <c r="B622" s="3"/>
      <c r="C622" s="3"/>
      <c r="D622" s="3"/>
      <c r="E622" s="3"/>
      <c r="F622" s="3"/>
      <c r="G622" s="3"/>
      <c r="H622" s="3"/>
      <c r="I622" s="97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3"/>
      <c r="B623" s="3"/>
      <c r="C623" s="3"/>
      <c r="D623" s="3"/>
      <c r="E623" s="3"/>
      <c r="F623" s="3"/>
      <c r="G623" s="3"/>
      <c r="H623" s="3"/>
      <c r="I623" s="97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3"/>
      <c r="B624" s="3"/>
      <c r="C624" s="3"/>
      <c r="D624" s="3"/>
      <c r="E624" s="3"/>
      <c r="F624" s="3"/>
      <c r="G624" s="3"/>
      <c r="H624" s="3"/>
      <c r="I624" s="97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3"/>
      <c r="B625" s="3"/>
      <c r="C625" s="3"/>
      <c r="D625" s="3"/>
      <c r="E625" s="3"/>
      <c r="F625" s="3"/>
      <c r="G625" s="3"/>
      <c r="H625" s="3"/>
      <c r="I625" s="97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3"/>
      <c r="B626" s="3"/>
      <c r="C626" s="3"/>
      <c r="D626" s="3"/>
      <c r="E626" s="3"/>
      <c r="F626" s="3"/>
      <c r="G626" s="3"/>
      <c r="H626" s="3"/>
      <c r="I626" s="97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3"/>
      <c r="B627" s="3"/>
      <c r="C627" s="3"/>
      <c r="D627" s="3"/>
      <c r="E627" s="3"/>
      <c r="F627" s="3"/>
      <c r="G627" s="3"/>
      <c r="H627" s="3"/>
      <c r="I627" s="97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3"/>
      <c r="B628" s="3"/>
      <c r="C628" s="3"/>
      <c r="D628" s="3"/>
      <c r="E628" s="3"/>
      <c r="F628" s="3"/>
      <c r="G628" s="3"/>
      <c r="H628" s="3"/>
      <c r="I628" s="97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3"/>
      <c r="B629" s="3"/>
      <c r="C629" s="3"/>
      <c r="D629" s="3"/>
      <c r="E629" s="3"/>
      <c r="F629" s="3"/>
      <c r="G629" s="3"/>
      <c r="H629" s="3"/>
      <c r="I629" s="97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3"/>
      <c r="B630" s="3"/>
      <c r="C630" s="3"/>
      <c r="D630" s="3"/>
      <c r="E630" s="3"/>
      <c r="F630" s="3"/>
      <c r="G630" s="3"/>
      <c r="H630" s="3"/>
      <c r="I630" s="97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3"/>
      <c r="B631" s="3"/>
      <c r="C631" s="3"/>
      <c r="D631" s="3"/>
      <c r="E631" s="3"/>
      <c r="F631" s="3"/>
      <c r="G631" s="3"/>
      <c r="H631" s="3"/>
      <c r="I631" s="97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3"/>
      <c r="B632" s="3"/>
      <c r="C632" s="3"/>
      <c r="D632" s="3"/>
      <c r="E632" s="3"/>
      <c r="F632" s="3"/>
      <c r="G632" s="3"/>
      <c r="H632" s="3"/>
      <c r="I632" s="97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3"/>
      <c r="B633" s="3"/>
      <c r="C633" s="3"/>
      <c r="D633" s="3"/>
      <c r="E633" s="3"/>
      <c r="F633" s="3"/>
      <c r="G633" s="3"/>
      <c r="H633" s="3"/>
      <c r="I633" s="97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3"/>
      <c r="B634" s="3"/>
      <c r="C634" s="3"/>
      <c r="D634" s="3"/>
      <c r="E634" s="3"/>
      <c r="F634" s="3"/>
      <c r="G634" s="3"/>
      <c r="H634" s="3"/>
      <c r="I634" s="97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3"/>
      <c r="B635" s="3"/>
      <c r="C635" s="3"/>
      <c r="D635" s="3"/>
      <c r="E635" s="3"/>
      <c r="F635" s="3"/>
      <c r="G635" s="3"/>
      <c r="H635" s="3"/>
      <c r="I635" s="97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3"/>
      <c r="B636" s="3"/>
      <c r="C636" s="3"/>
      <c r="D636" s="3"/>
      <c r="E636" s="3"/>
      <c r="F636" s="3"/>
      <c r="G636" s="3"/>
      <c r="H636" s="3"/>
      <c r="I636" s="97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3"/>
      <c r="B637" s="3"/>
      <c r="C637" s="3"/>
      <c r="D637" s="3"/>
      <c r="E637" s="3"/>
      <c r="F637" s="3"/>
      <c r="G637" s="3"/>
      <c r="H637" s="3"/>
      <c r="I637" s="97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3"/>
      <c r="B638" s="3"/>
      <c r="C638" s="3"/>
      <c r="D638" s="3"/>
      <c r="E638" s="3"/>
      <c r="F638" s="3"/>
      <c r="G638" s="3"/>
      <c r="H638" s="3"/>
      <c r="I638" s="97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3"/>
      <c r="B639" s="3"/>
      <c r="C639" s="3"/>
      <c r="D639" s="3"/>
      <c r="E639" s="3"/>
      <c r="F639" s="3"/>
      <c r="G639" s="3"/>
      <c r="H639" s="3"/>
      <c r="I639" s="97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3"/>
      <c r="B640" s="3"/>
      <c r="C640" s="3"/>
      <c r="D640" s="3"/>
      <c r="E640" s="3"/>
      <c r="F640" s="3"/>
      <c r="G640" s="3"/>
      <c r="H640" s="3"/>
      <c r="I640" s="97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3"/>
      <c r="B641" s="3"/>
      <c r="C641" s="3"/>
      <c r="D641" s="3"/>
      <c r="E641" s="3"/>
      <c r="F641" s="3"/>
      <c r="G641" s="3"/>
      <c r="H641" s="3"/>
      <c r="I641" s="97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3"/>
      <c r="B642" s="3"/>
      <c r="C642" s="3"/>
      <c r="D642" s="3"/>
      <c r="E642" s="3"/>
      <c r="F642" s="3"/>
      <c r="G642" s="3"/>
      <c r="H642" s="3"/>
      <c r="I642" s="97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3"/>
      <c r="B643" s="3"/>
      <c r="C643" s="3"/>
      <c r="D643" s="3"/>
      <c r="E643" s="3"/>
      <c r="F643" s="3"/>
      <c r="G643" s="3"/>
      <c r="H643" s="3"/>
      <c r="I643" s="97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3"/>
      <c r="B644" s="3"/>
      <c r="C644" s="3"/>
      <c r="D644" s="3"/>
      <c r="E644" s="3"/>
      <c r="F644" s="3"/>
      <c r="G644" s="3"/>
      <c r="H644" s="3"/>
      <c r="I644" s="97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3"/>
      <c r="B645" s="3"/>
      <c r="C645" s="3"/>
      <c r="D645" s="3"/>
      <c r="E645" s="3"/>
      <c r="F645" s="3"/>
      <c r="G645" s="3"/>
      <c r="H645" s="3"/>
      <c r="I645" s="97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3"/>
      <c r="B646" s="3"/>
      <c r="C646" s="3"/>
      <c r="D646" s="3"/>
      <c r="E646" s="3"/>
      <c r="F646" s="3"/>
      <c r="G646" s="3"/>
      <c r="H646" s="3"/>
      <c r="I646" s="97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3"/>
      <c r="B647" s="3"/>
      <c r="C647" s="3"/>
      <c r="D647" s="3"/>
      <c r="E647" s="3"/>
      <c r="F647" s="3"/>
      <c r="G647" s="3"/>
      <c r="H647" s="3"/>
      <c r="I647" s="97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3"/>
      <c r="B648" s="3"/>
      <c r="C648" s="3"/>
      <c r="D648" s="3"/>
      <c r="E648" s="3"/>
      <c r="F648" s="3"/>
      <c r="G648" s="3"/>
      <c r="H648" s="3"/>
      <c r="I648" s="97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3"/>
      <c r="B649" s="3"/>
      <c r="C649" s="3"/>
      <c r="D649" s="3"/>
      <c r="E649" s="3"/>
      <c r="F649" s="3"/>
      <c r="G649" s="3"/>
      <c r="H649" s="3"/>
      <c r="I649" s="97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3"/>
      <c r="B650" s="3"/>
      <c r="C650" s="3"/>
      <c r="D650" s="3"/>
      <c r="E650" s="3"/>
      <c r="F650" s="3"/>
      <c r="G650" s="3"/>
      <c r="H650" s="3"/>
      <c r="I650" s="97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3"/>
      <c r="B651" s="3"/>
      <c r="C651" s="3"/>
      <c r="D651" s="3"/>
      <c r="E651" s="3"/>
      <c r="F651" s="3"/>
      <c r="G651" s="3"/>
      <c r="H651" s="3"/>
      <c r="I651" s="97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3"/>
      <c r="B652" s="3"/>
      <c r="C652" s="3"/>
      <c r="D652" s="3"/>
      <c r="E652" s="3"/>
      <c r="F652" s="3"/>
      <c r="G652" s="3"/>
      <c r="H652" s="3"/>
      <c r="I652" s="97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3"/>
      <c r="B653" s="3"/>
      <c r="C653" s="3"/>
      <c r="D653" s="3"/>
      <c r="E653" s="3"/>
      <c r="F653" s="3"/>
      <c r="G653" s="3"/>
      <c r="H653" s="3"/>
      <c r="I653" s="97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3"/>
      <c r="B654" s="3"/>
      <c r="C654" s="3"/>
      <c r="D654" s="3"/>
      <c r="E654" s="3"/>
      <c r="F654" s="3"/>
      <c r="G654" s="3"/>
      <c r="H654" s="3"/>
      <c r="I654" s="97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3"/>
      <c r="B655" s="3"/>
      <c r="C655" s="3"/>
      <c r="D655" s="3"/>
      <c r="E655" s="3"/>
      <c r="F655" s="3"/>
      <c r="G655" s="3"/>
      <c r="H655" s="3"/>
      <c r="I655" s="97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3"/>
      <c r="B656" s="3"/>
      <c r="C656" s="3"/>
      <c r="D656" s="3"/>
      <c r="E656" s="3"/>
      <c r="F656" s="3"/>
      <c r="G656" s="3"/>
      <c r="H656" s="3"/>
      <c r="I656" s="97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3"/>
      <c r="B657" s="3"/>
      <c r="C657" s="3"/>
      <c r="D657" s="3"/>
      <c r="E657" s="3"/>
      <c r="F657" s="3"/>
      <c r="G657" s="3"/>
      <c r="H657" s="3"/>
      <c r="I657" s="97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3"/>
      <c r="B658" s="3"/>
      <c r="C658" s="3"/>
      <c r="D658" s="3"/>
      <c r="E658" s="3"/>
      <c r="F658" s="3"/>
      <c r="G658" s="3"/>
      <c r="H658" s="3"/>
      <c r="I658" s="97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3"/>
      <c r="B659" s="3"/>
      <c r="C659" s="3"/>
      <c r="D659" s="3"/>
      <c r="E659" s="3"/>
      <c r="F659" s="3"/>
      <c r="G659" s="3"/>
      <c r="H659" s="3"/>
      <c r="I659" s="97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3"/>
      <c r="B660" s="3"/>
      <c r="C660" s="3"/>
      <c r="D660" s="3"/>
      <c r="E660" s="3"/>
      <c r="F660" s="3"/>
      <c r="G660" s="3"/>
      <c r="H660" s="3"/>
      <c r="I660" s="97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3"/>
      <c r="B661" s="3"/>
      <c r="C661" s="3"/>
      <c r="D661" s="3"/>
      <c r="E661" s="3"/>
      <c r="F661" s="3"/>
      <c r="G661" s="3"/>
      <c r="H661" s="3"/>
      <c r="I661" s="97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3"/>
      <c r="B662" s="3"/>
      <c r="C662" s="3"/>
      <c r="D662" s="3"/>
      <c r="E662" s="3"/>
      <c r="F662" s="3"/>
      <c r="G662" s="3"/>
      <c r="H662" s="3"/>
      <c r="I662" s="97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3"/>
      <c r="B663" s="3"/>
      <c r="C663" s="3"/>
      <c r="D663" s="3"/>
      <c r="E663" s="3"/>
      <c r="F663" s="3"/>
      <c r="G663" s="3"/>
      <c r="H663" s="3"/>
      <c r="I663" s="97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3"/>
      <c r="B664" s="3"/>
      <c r="C664" s="3"/>
      <c r="D664" s="3"/>
      <c r="E664" s="3"/>
      <c r="F664" s="3"/>
      <c r="G664" s="3"/>
      <c r="H664" s="3"/>
      <c r="I664" s="97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3"/>
      <c r="B665" s="3"/>
      <c r="C665" s="3"/>
      <c r="D665" s="3"/>
      <c r="E665" s="3"/>
      <c r="F665" s="3"/>
      <c r="G665" s="3"/>
      <c r="H665" s="3"/>
      <c r="I665" s="97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3"/>
      <c r="B666" s="3"/>
      <c r="C666" s="3"/>
      <c r="D666" s="3"/>
      <c r="E666" s="3"/>
      <c r="F666" s="3"/>
      <c r="G666" s="3"/>
      <c r="H666" s="3"/>
      <c r="I666" s="97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3"/>
      <c r="B667" s="3"/>
      <c r="C667" s="3"/>
      <c r="D667" s="3"/>
      <c r="E667" s="3"/>
      <c r="F667" s="3"/>
      <c r="G667" s="3"/>
      <c r="H667" s="3"/>
      <c r="I667" s="97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3"/>
      <c r="B668" s="3"/>
      <c r="C668" s="3"/>
      <c r="D668" s="3"/>
      <c r="E668" s="3"/>
      <c r="F668" s="3"/>
      <c r="G668" s="3"/>
      <c r="H668" s="3"/>
      <c r="I668" s="97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3"/>
      <c r="B669" s="3"/>
      <c r="C669" s="3"/>
      <c r="D669" s="3"/>
      <c r="E669" s="3"/>
      <c r="F669" s="3"/>
      <c r="G669" s="3"/>
      <c r="H669" s="3"/>
      <c r="I669" s="97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3"/>
      <c r="B670" s="3"/>
      <c r="C670" s="3"/>
      <c r="D670" s="3"/>
      <c r="E670" s="3"/>
      <c r="F670" s="3"/>
      <c r="G670" s="3"/>
      <c r="H670" s="3"/>
      <c r="I670" s="97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3"/>
      <c r="B671" s="3"/>
      <c r="C671" s="3"/>
      <c r="D671" s="3"/>
      <c r="E671" s="3"/>
      <c r="F671" s="3"/>
      <c r="G671" s="3"/>
      <c r="H671" s="3"/>
      <c r="I671" s="97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3"/>
      <c r="B672" s="3"/>
      <c r="C672" s="3"/>
      <c r="D672" s="3"/>
      <c r="E672" s="3"/>
      <c r="F672" s="3"/>
      <c r="G672" s="3"/>
      <c r="H672" s="3"/>
      <c r="I672" s="97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3"/>
      <c r="B673" s="3"/>
      <c r="C673" s="3"/>
      <c r="D673" s="3"/>
      <c r="E673" s="3"/>
      <c r="F673" s="3"/>
      <c r="G673" s="3"/>
      <c r="H673" s="3"/>
      <c r="I673" s="97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3"/>
      <c r="B674" s="3"/>
      <c r="C674" s="3"/>
      <c r="D674" s="3"/>
      <c r="E674" s="3"/>
      <c r="F674" s="3"/>
      <c r="G674" s="3"/>
      <c r="H674" s="3"/>
      <c r="I674" s="97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3"/>
      <c r="B675" s="3"/>
      <c r="C675" s="3"/>
      <c r="D675" s="3"/>
      <c r="E675" s="3"/>
      <c r="F675" s="3"/>
      <c r="G675" s="3"/>
      <c r="H675" s="3"/>
      <c r="I675" s="97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3"/>
      <c r="B676" s="3"/>
      <c r="C676" s="3"/>
      <c r="D676" s="3"/>
      <c r="E676" s="3"/>
      <c r="F676" s="3"/>
      <c r="G676" s="3"/>
      <c r="H676" s="3"/>
      <c r="I676" s="97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3"/>
      <c r="B677" s="3"/>
      <c r="C677" s="3"/>
      <c r="D677" s="3"/>
      <c r="E677" s="3"/>
      <c r="F677" s="3"/>
      <c r="G677" s="3"/>
      <c r="H677" s="3"/>
      <c r="I677" s="97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3"/>
      <c r="B678" s="3"/>
      <c r="C678" s="3"/>
      <c r="D678" s="3"/>
      <c r="E678" s="3"/>
      <c r="F678" s="3"/>
      <c r="G678" s="3"/>
      <c r="H678" s="3"/>
      <c r="I678" s="97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3"/>
      <c r="B679" s="3"/>
      <c r="C679" s="3"/>
      <c r="D679" s="3"/>
      <c r="E679" s="3"/>
      <c r="F679" s="3"/>
      <c r="G679" s="3"/>
      <c r="H679" s="3"/>
      <c r="I679" s="97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3"/>
      <c r="B680" s="3"/>
      <c r="C680" s="3"/>
      <c r="D680" s="3"/>
      <c r="E680" s="3"/>
      <c r="F680" s="3"/>
      <c r="G680" s="3"/>
      <c r="H680" s="3"/>
      <c r="I680" s="97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3"/>
      <c r="B681" s="3"/>
      <c r="C681" s="3"/>
      <c r="D681" s="3"/>
      <c r="E681" s="3"/>
      <c r="F681" s="3"/>
      <c r="G681" s="3"/>
      <c r="H681" s="3"/>
      <c r="I681" s="97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3"/>
      <c r="B682" s="3"/>
      <c r="C682" s="3"/>
      <c r="D682" s="3"/>
      <c r="E682" s="3"/>
      <c r="F682" s="3"/>
      <c r="G682" s="3"/>
      <c r="H682" s="3"/>
      <c r="I682" s="97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3"/>
      <c r="B683" s="3"/>
      <c r="C683" s="3"/>
      <c r="D683" s="3"/>
      <c r="E683" s="3"/>
      <c r="F683" s="3"/>
      <c r="G683" s="3"/>
      <c r="H683" s="3"/>
      <c r="I683" s="97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3"/>
      <c r="B684" s="3"/>
      <c r="C684" s="3"/>
      <c r="D684" s="3"/>
      <c r="E684" s="3"/>
      <c r="F684" s="3"/>
      <c r="G684" s="3"/>
      <c r="H684" s="3"/>
      <c r="I684" s="97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3"/>
      <c r="B685" s="3"/>
      <c r="C685" s="3"/>
      <c r="D685" s="3"/>
      <c r="E685" s="3"/>
      <c r="F685" s="3"/>
      <c r="G685" s="3"/>
      <c r="H685" s="3"/>
      <c r="I685" s="97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3"/>
      <c r="B686" s="3"/>
      <c r="C686" s="3"/>
      <c r="D686" s="3"/>
      <c r="E686" s="3"/>
      <c r="F686" s="3"/>
      <c r="G686" s="3"/>
      <c r="H686" s="3"/>
      <c r="I686" s="97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3"/>
      <c r="B687" s="3"/>
      <c r="C687" s="3"/>
      <c r="D687" s="3"/>
      <c r="E687" s="3"/>
      <c r="F687" s="3"/>
      <c r="G687" s="3"/>
      <c r="H687" s="3"/>
      <c r="I687" s="97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3"/>
      <c r="B688" s="3"/>
      <c r="C688" s="3"/>
      <c r="D688" s="3"/>
      <c r="E688" s="3"/>
      <c r="F688" s="3"/>
      <c r="G688" s="3"/>
      <c r="H688" s="3"/>
      <c r="I688" s="97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3"/>
      <c r="B689" s="3"/>
      <c r="C689" s="3"/>
      <c r="D689" s="3"/>
      <c r="E689" s="3"/>
      <c r="F689" s="3"/>
      <c r="G689" s="3"/>
      <c r="H689" s="3"/>
      <c r="I689" s="97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3"/>
      <c r="B690" s="3"/>
      <c r="C690" s="3"/>
      <c r="D690" s="3"/>
      <c r="E690" s="3"/>
      <c r="F690" s="3"/>
      <c r="G690" s="3"/>
      <c r="H690" s="3"/>
      <c r="I690" s="97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3"/>
      <c r="B691" s="3"/>
      <c r="C691" s="3"/>
      <c r="D691" s="3"/>
      <c r="E691" s="3"/>
      <c r="F691" s="3"/>
      <c r="G691" s="3"/>
      <c r="H691" s="3"/>
      <c r="I691" s="97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3"/>
      <c r="B692" s="3"/>
      <c r="C692" s="3"/>
      <c r="D692" s="3"/>
      <c r="E692" s="3"/>
      <c r="F692" s="3"/>
      <c r="G692" s="3"/>
      <c r="H692" s="3"/>
      <c r="I692" s="97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3"/>
      <c r="B693" s="3"/>
      <c r="C693" s="3"/>
      <c r="D693" s="3"/>
      <c r="E693" s="3"/>
      <c r="F693" s="3"/>
      <c r="G693" s="3"/>
      <c r="H693" s="3"/>
      <c r="I693" s="97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3"/>
      <c r="B694" s="3"/>
      <c r="C694" s="3"/>
      <c r="D694" s="3"/>
      <c r="E694" s="3"/>
      <c r="F694" s="3"/>
      <c r="G694" s="3"/>
      <c r="H694" s="3"/>
      <c r="I694" s="97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3"/>
      <c r="B695" s="3"/>
      <c r="C695" s="3"/>
      <c r="D695" s="3"/>
      <c r="E695" s="3"/>
      <c r="F695" s="3"/>
      <c r="G695" s="3"/>
      <c r="H695" s="3"/>
      <c r="I695" s="97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3"/>
      <c r="B696" s="3"/>
      <c r="C696" s="3"/>
      <c r="D696" s="3"/>
      <c r="E696" s="3"/>
      <c r="F696" s="3"/>
      <c r="G696" s="3"/>
      <c r="H696" s="3"/>
      <c r="I696" s="97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3"/>
      <c r="B697" s="3"/>
      <c r="C697" s="3"/>
      <c r="D697" s="3"/>
      <c r="E697" s="3"/>
      <c r="F697" s="3"/>
      <c r="G697" s="3"/>
      <c r="H697" s="3"/>
      <c r="I697" s="97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3"/>
      <c r="B698" s="3"/>
      <c r="C698" s="3"/>
      <c r="D698" s="3"/>
      <c r="E698" s="3"/>
      <c r="F698" s="3"/>
      <c r="G698" s="3"/>
      <c r="H698" s="3"/>
      <c r="I698" s="97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3"/>
      <c r="B699" s="3"/>
      <c r="C699" s="3"/>
      <c r="D699" s="3"/>
      <c r="E699" s="3"/>
      <c r="F699" s="3"/>
      <c r="G699" s="3"/>
      <c r="H699" s="3"/>
      <c r="I699" s="97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3"/>
      <c r="B700" s="3"/>
      <c r="C700" s="3"/>
      <c r="D700" s="3"/>
      <c r="E700" s="3"/>
      <c r="F700" s="3"/>
      <c r="G700" s="3"/>
      <c r="H700" s="3"/>
      <c r="I700" s="97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3"/>
      <c r="B701" s="3"/>
      <c r="C701" s="3"/>
      <c r="D701" s="3"/>
      <c r="E701" s="3"/>
      <c r="F701" s="3"/>
      <c r="G701" s="3"/>
      <c r="H701" s="3"/>
      <c r="I701" s="97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3"/>
      <c r="B702" s="3"/>
      <c r="C702" s="3"/>
      <c r="D702" s="3"/>
      <c r="E702" s="3"/>
      <c r="F702" s="3"/>
      <c r="G702" s="3"/>
      <c r="H702" s="3"/>
      <c r="I702" s="97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3"/>
      <c r="B703" s="3"/>
      <c r="C703" s="3"/>
      <c r="D703" s="3"/>
      <c r="E703" s="3"/>
      <c r="F703" s="3"/>
      <c r="G703" s="3"/>
      <c r="H703" s="3"/>
      <c r="I703" s="97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3"/>
      <c r="B704" s="3"/>
      <c r="C704" s="3"/>
      <c r="D704" s="3"/>
      <c r="E704" s="3"/>
      <c r="F704" s="3"/>
      <c r="G704" s="3"/>
      <c r="H704" s="3"/>
      <c r="I704" s="97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3"/>
      <c r="B705" s="3"/>
      <c r="C705" s="3"/>
      <c r="D705" s="3"/>
      <c r="E705" s="3"/>
      <c r="F705" s="3"/>
      <c r="G705" s="3"/>
      <c r="H705" s="3"/>
      <c r="I705" s="97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3"/>
      <c r="B706" s="3"/>
      <c r="C706" s="3"/>
      <c r="D706" s="3"/>
      <c r="E706" s="3"/>
      <c r="F706" s="3"/>
      <c r="G706" s="3"/>
      <c r="H706" s="3"/>
      <c r="I706" s="97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3"/>
      <c r="B707" s="3"/>
      <c r="C707" s="3"/>
      <c r="D707" s="3"/>
      <c r="E707" s="3"/>
      <c r="F707" s="3"/>
      <c r="G707" s="3"/>
      <c r="H707" s="3"/>
      <c r="I707" s="97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3"/>
      <c r="B708" s="3"/>
      <c r="C708" s="3"/>
      <c r="D708" s="3"/>
      <c r="E708" s="3"/>
      <c r="F708" s="3"/>
      <c r="G708" s="3"/>
      <c r="H708" s="3"/>
      <c r="I708" s="97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3"/>
      <c r="B709" s="3"/>
      <c r="C709" s="3"/>
      <c r="D709" s="3"/>
      <c r="E709" s="3"/>
      <c r="F709" s="3"/>
      <c r="G709" s="3"/>
      <c r="H709" s="3"/>
      <c r="I709" s="97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3"/>
      <c r="B710" s="3"/>
      <c r="C710" s="3"/>
      <c r="D710" s="3"/>
      <c r="E710" s="3"/>
      <c r="F710" s="3"/>
      <c r="G710" s="3"/>
      <c r="H710" s="3"/>
      <c r="I710" s="97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3"/>
      <c r="B711" s="3"/>
      <c r="C711" s="3"/>
      <c r="D711" s="3"/>
      <c r="E711" s="3"/>
      <c r="F711" s="3"/>
      <c r="G711" s="3"/>
      <c r="H711" s="3"/>
      <c r="I711" s="97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3"/>
      <c r="B712" s="3"/>
      <c r="C712" s="3"/>
      <c r="D712" s="3"/>
      <c r="E712" s="3"/>
      <c r="F712" s="3"/>
      <c r="G712" s="3"/>
      <c r="H712" s="3"/>
      <c r="I712" s="97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3"/>
      <c r="B713" s="3"/>
      <c r="C713" s="3"/>
      <c r="D713" s="3"/>
      <c r="E713" s="3"/>
      <c r="F713" s="3"/>
      <c r="G713" s="3"/>
      <c r="H713" s="3"/>
      <c r="I713" s="97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3"/>
      <c r="B714" s="3"/>
      <c r="C714" s="3"/>
      <c r="D714" s="3"/>
      <c r="E714" s="3"/>
      <c r="F714" s="3"/>
      <c r="G714" s="3"/>
      <c r="H714" s="3"/>
      <c r="I714" s="97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3"/>
      <c r="B715" s="3"/>
      <c r="C715" s="3"/>
      <c r="D715" s="3"/>
      <c r="E715" s="3"/>
      <c r="F715" s="3"/>
      <c r="G715" s="3"/>
      <c r="H715" s="3"/>
      <c r="I715" s="97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3"/>
      <c r="B716" s="3"/>
      <c r="C716" s="3"/>
      <c r="D716" s="3"/>
      <c r="E716" s="3"/>
      <c r="F716" s="3"/>
      <c r="G716" s="3"/>
      <c r="H716" s="3"/>
      <c r="I716" s="97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3"/>
      <c r="B717" s="3"/>
      <c r="C717" s="3"/>
      <c r="D717" s="3"/>
      <c r="E717" s="3"/>
      <c r="F717" s="3"/>
      <c r="G717" s="3"/>
      <c r="H717" s="3"/>
      <c r="I717" s="97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3"/>
      <c r="B718" s="3"/>
      <c r="C718" s="3"/>
      <c r="D718" s="3"/>
      <c r="E718" s="3"/>
      <c r="F718" s="3"/>
      <c r="G718" s="3"/>
      <c r="H718" s="3"/>
      <c r="I718" s="97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3"/>
      <c r="B719" s="3"/>
      <c r="C719" s="3"/>
      <c r="D719" s="3"/>
      <c r="E719" s="3"/>
      <c r="F719" s="3"/>
      <c r="G719" s="3"/>
      <c r="H719" s="3"/>
      <c r="I719" s="97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3"/>
      <c r="B720" s="3"/>
      <c r="C720" s="3"/>
      <c r="D720" s="3"/>
      <c r="E720" s="3"/>
      <c r="F720" s="3"/>
      <c r="G720" s="3"/>
      <c r="H720" s="3"/>
      <c r="I720" s="97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3"/>
      <c r="B721" s="3"/>
      <c r="C721" s="3"/>
      <c r="D721" s="3"/>
      <c r="E721" s="3"/>
      <c r="F721" s="3"/>
      <c r="G721" s="3"/>
      <c r="H721" s="3"/>
      <c r="I721" s="97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3"/>
      <c r="B722" s="3"/>
      <c r="C722" s="3"/>
      <c r="D722" s="3"/>
      <c r="E722" s="3"/>
      <c r="F722" s="3"/>
      <c r="G722" s="3"/>
      <c r="H722" s="3"/>
      <c r="I722" s="97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3"/>
      <c r="C723" s="3"/>
      <c r="D723" s="3"/>
      <c r="E723" s="3"/>
      <c r="F723" s="3"/>
      <c r="G723" s="3"/>
      <c r="H723" s="3"/>
      <c r="I723" s="97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3"/>
      <c r="C724" s="3"/>
      <c r="D724" s="3"/>
      <c r="E724" s="3"/>
      <c r="F724" s="3"/>
      <c r="G724" s="3"/>
      <c r="H724" s="3"/>
      <c r="I724" s="97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3"/>
      <c r="C725" s="3"/>
      <c r="D725" s="3"/>
      <c r="E725" s="3"/>
      <c r="F725" s="3"/>
      <c r="G725" s="3"/>
      <c r="H725" s="3"/>
      <c r="I725" s="97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3"/>
      <c r="C726" s="3"/>
      <c r="D726" s="3"/>
      <c r="E726" s="3"/>
      <c r="F726" s="3"/>
      <c r="G726" s="3"/>
      <c r="H726" s="3"/>
      <c r="I726" s="97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3"/>
      <c r="C727" s="3"/>
      <c r="D727" s="3"/>
      <c r="E727" s="3"/>
      <c r="F727" s="3"/>
      <c r="G727" s="3"/>
      <c r="H727" s="3"/>
      <c r="I727" s="97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3"/>
      <c r="C728" s="3"/>
      <c r="D728" s="3"/>
      <c r="E728" s="3"/>
      <c r="F728" s="3"/>
      <c r="G728" s="3"/>
      <c r="H728" s="3"/>
      <c r="I728" s="97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3"/>
      <c r="C729" s="3"/>
      <c r="D729" s="3"/>
      <c r="E729" s="3"/>
      <c r="F729" s="3"/>
      <c r="G729" s="3"/>
      <c r="H729" s="3"/>
      <c r="I729" s="97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3"/>
      <c r="C730" s="3"/>
      <c r="D730" s="3"/>
      <c r="E730" s="3"/>
      <c r="F730" s="3"/>
      <c r="G730" s="3"/>
      <c r="H730" s="3"/>
      <c r="I730" s="97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3"/>
      <c r="C731" s="3"/>
      <c r="D731" s="3"/>
      <c r="E731" s="3"/>
      <c r="F731" s="3"/>
      <c r="G731" s="3"/>
      <c r="H731" s="3"/>
      <c r="I731" s="97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3"/>
      <c r="B732" s="3"/>
      <c r="C732" s="3"/>
      <c r="D732" s="3"/>
      <c r="E732" s="3"/>
      <c r="F732" s="3"/>
      <c r="G732" s="3"/>
      <c r="H732" s="3"/>
      <c r="I732" s="97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3"/>
      <c r="B733" s="3"/>
      <c r="C733" s="3"/>
      <c r="D733" s="3"/>
      <c r="E733" s="3"/>
      <c r="F733" s="3"/>
      <c r="G733" s="3"/>
      <c r="H733" s="3"/>
      <c r="I733" s="97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3"/>
      <c r="B734" s="3"/>
      <c r="C734" s="3"/>
      <c r="D734" s="3"/>
      <c r="E734" s="3"/>
      <c r="F734" s="3"/>
      <c r="G734" s="3"/>
      <c r="H734" s="3"/>
      <c r="I734" s="97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3"/>
      <c r="B735" s="3"/>
      <c r="C735" s="3"/>
      <c r="D735" s="3"/>
      <c r="E735" s="3"/>
      <c r="F735" s="3"/>
      <c r="G735" s="3"/>
      <c r="H735" s="3"/>
      <c r="I735" s="97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3"/>
      <c r="B736" s="3"/>
      <c r="C736" s="3"/>
      <c r="D736" s="3"/>
      <c r="E736" s="3"/>
      <c r="F736" s="3"/>
      <c r="G736" s="3"/>
      <c r="H736" s="3"/>
      <c r="I736" s="97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3"/>
      <c r="B737" s="3"/>
      <c r="C737" s="3"/>
      <c r="D737" s="3"/>
      <c r="E737" s="3"/>
      <c r="F737" s="3"/>
      <c r="G737" s="3"/>
      <c r="H737" s="3"/>
      <c r="I737" s="97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3"/>
      <c r="B738" s="3"/>
      <c r="C738" s="3"/>
      <c r="D738" s="3"/>
      <c r="E738" s="3"/>
      <c r="F738" s="3"/>
      <c r="G738" s="3"/>
      <c r="H738" s="3"/>
      <c r="I738" s="97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3"/>
      <c r="B739" s="3"/>
      <c r="C739" s="3"/>
      <c r="D739" s="3"/>
      <c r="E739" s="3"/>
      <c r="F739" s="3"/>
      <c r="G739" s="3"/>
      <c r="H739" s="3"/>
      <c r="I739" s="97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3"/>
      <c r="B740" s="3"/>
      <c r="C740" s="3"/>
      <c r="D740" s="3"/>
      <c r="E740" s="3"/>
      <c r="F740" s="3"/>
      <c r="G740" s="3"/>
      <c r="H740" s="3"/>
      <c r="I740" s="97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3"/>
      <c r="B741" s="3"/>
      <c r="C741" s="3"/>
      <c r="D741" s="3"/>
      <c r="E741" s="3"/>
      <c r="F741" s="3"/>
      <c r="G741" s="3"/>
      <c r="H741" s="3"/>
      <c r="I741" s="97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3"/>
      <c r="B742" s="3"/>
      <c r="C742" s="3"/>
      <c r="D742" s="3"/>
      <c r="E742" s="3"/>
      <c r="F742" s="3"/>
      <c r="G742" s="3"/>
      <c r="H742" s="3"/>
      <c r="I742" s="97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3"/>
      <c r="B743" s="3"/>
      <c r="C743" s="3"/>
      <c r="D743" s="3"/>
      <c r="E743" s="3"/>
      <c r="F743" s="3"/>
      <c r="G743" s="3"/>
      <c r="H743" s="3"/>
      <c r="I743" s="97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3"/>
      <c r="B744" s="3"/>
      <c r="C744" s="3"/>
      <c r="D744" s="3"/>
      <c r="E744" s="3"/>
      <c r="F744" s="3"/>
      <c r="G744" s="3"/>
      <c r="H744" s="3"/>
      <c r="I744" s="97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3"/>
      <c r="B745" s="3"/>
      <c r="C745" s="3"/>
      <c r="D745" s="3"/>
      <c r="E745" s="3"/>
      <c r="F745" s="3"/>
      <c r="G745" s="3"/>
      <c r="H745" s="3"/>
      <c r="I745" s="97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3"/>
      <c r="B746" s="3"/>
      <c r="C746" s="3"/>
      <c r="D746" s="3"/>
      <c r="E746" s="3"/>
      <c r="F746" s="3"/>
      <c r="G746" s="3"/>
      <c r="H746" s="3"/>
      <c r="I746" s="97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3"/>
      <c r="B747" s="3"/>
      <c r="C747" s="3"/>
      <c r="D747" s="3"/>
      <c r="E747" s="3"/>
      <c r="F747" s="3"/>
      <c r="G747" s="3"/>
      <c r="H747" s="3"/>
      <c r="I747" s="97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3"/>
      <c r="B748" s="3"/>
      <c r="C748" s="3"/>
      <c r="D748" s="3"/>
      <c r="E748" s="3"/>
      <c r="F748" s="3"/>
      <c r="G748" s="3"/>
      <c r="H748" s="3"/>
      <c r="I748" s="97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3"/>
      <c r="B749" s="3"/>
      <c r="C749" s="3"/>
      <c r="D749" s="3"/>
      <c r="E749" s="3"/>
      <c r="F749" s="3"/>
      <c r="G749" s="3"/>
      <c r="H749" s="3"/>
      <c r="I749" s="97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3"/>
      <c r="B750" s="3"/>
      <c r="C750" s="3"/>
      <c r="D750" s="3"/>
      <c r="E750" s="3"/>
      <c r="F750" s="3"/>
      <c r="G750" s="3"/>
      <c r="H750" s="3"/>
      <c r="I750" s="97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3"/>
      <c r="B751" s="3"/>
      <c r="C751" s="3"/>
      <c r="D751" s="3"/>
      <c r="E751" s="3"/>
      <c r="F751" s="3"/>
      <c r="G751" s="3"/>
      <c r="H751" s="3"/>
      <c r="I751" s="97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3"/>
      <c r="B752" s="3"/>
      <c r="C752" s="3"/>
      <c r="D752" s="3"/>
      <c r="E752" s="3"/>
      <c r="F752" s="3"/>
      <c r="G752" s="3"/>
      <c r="H752" s="3"/>
      <c r="I752" s="97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3"/>
      <c r="B753" s="3"/>
      <c r="C753" s="3"/>
      <c r="D753" s="3"/>
      <c r="E753" s="3"/>
      <c r="F753" s="3"/>
      <c r="G753" s="3"/>
      <c r="H753" s="3"/>
      <c r="I753" s="97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3"/>
      <c r="B754" s="3"/>
      <c r="C754" s="3"/>
      <c r="D754" s="3"/>
      <c r="E754" s="3"/>
      <c r="F754" s="3"/>
      <c r="G754" s="3"/>
      <c r="H754" s="3"/>
      <c r="I754" s="97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3"/>
      <c r="B755" s="3"/>
      <c r="C755" s="3"/>
      <c r="D755" s="3"/>
      <c r="E755" s="3"/>
      <c r="F755" s="3"/>
      <c r="G755" s="3"/>
      <c r="H755" s="3"/>
      <c r="I755" s="97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3"/>
      <c r="B756" s="3"/>
      <c r="C756" s="3"/>
      <c r="D756" s="3"/>
      <c r="E756" s="3"/>
      <c r="F756" s="3"/>
      <c r="G756" s="3"/>
      <c r="H756" s="3"/>
      <c r="I756" s="97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3"/>
      <c r="B757" s="3"/>
      <c r="C757" s="3"/>
      <c r="D757" s="3"/>
      <c r="E757" s="3"/>
      <c r="F757" s="3"/>
      <c r="G757" s="3"/>
      <c r="H757" s="3"/>
      <c r="I757" s="97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3"/>
      <c r="B758" s="3"/>
      <c r="C758" s="3"/>
      <c r="D758" s="3"/>
      <c r="E758" s="3"/>
      <c r="F758" s="3"/>
      <c r="G758" s="3"/>
      <c r="H758" s="3"/>
      <c r="I758" s="97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3"/>
      <c r="B759" s="3"/>
      <c r="C759" s="3"/>
      <c r="D759" s="3"/>
      <c r="E759" s="3"/>
      <c r="F759" s="3"/>
      <c r="G759" s="3"/>
      <c r="H759" s="3"/>
      <c r="I759" s="97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3"/>
      <c r="B760" s="3"/>
      <c r="C760" s="3"/>
      <c r="D760" s="3"/>
      <c r="E760" s="3"/>
      <c r="F760" s="3"/>
      <c r="G760" s="3"/>
      <c r="H760" s="3"/>
      <c r="I760" s="97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3"/>
      <c r="B761" s="3"/>
      <c r="C761" s="3"/>
      <c r="D761" s="3"/>
      <c r="E761" s="3"/>
      <c r="F761" s="3"/>
      <c r="G761" s="3"/>
      <c r="H761" s="3"/>
      <c r="I761" s="97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3"/>
      <c r="B762" s="3"/>
      <c r="C762" s="3"/>
      <c r="D762" s="3"/>
      <c r="E762" s="3"/>
      <c r="F762" s="3"/>
      <c r="G762" s="3"/>
      <c r="H762" s="3"/>
      <c r="I762" s="97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3"/>
      <c r="B763" s="3"/>
      <c r="C763" s="3"/>
      <c r="D763" s="3"/>
      <c r="E763" s="3"/>
      <c r="F763" s="3"/>
      <c r="G763" s="3"/>
      <c r="H763" s="3"/>
      <c r="I763" s="97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3"/>
      <c r="B764" s="3"/>
      <c r="C764" s="3"/>
      <c r="D764" s="3"/>
      <c r="E764" s="3"/>
      <c r="F764" s="3"/>
      <c r="G764" s="3"/>
      <c r="H764" s="3"/>
      <c r="I764" s="97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3"/>
      <c r="B765" s="3"/>
      <c r="C765" s="3"/>
      <c r="D765" s="3"/>
      <c r="E765" s="3"/>
      <c r="F765" s="3"/>
      <c r="G765" s="3"/>
      <c r="H765" s="3"/>
      <c r="I765" s="97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3"/>
      <c r="B766" s="3"/>
      <c r="C766" s="3"/>
      <c r="D766" s="3"/>
      <c r="E766" s="3"/>
      <c r="F766" s="3"/>
      <c r="G766" s="3"/>
      <c r="H766" s="3"/>
      <c r="I766" s="97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3"/>
      <c r="B767" s="3"/>
      <c r="C767" s="3"/>
      <c r="D767" s="3"/>
      <c r="E767" s="3"/>
      <c r="F767" s="3"/>
      <c r="G767" s="3"/>
      <c r="H767" s="3"/>
      <c r="I767" s="97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3"/>
      <c r="B768" s="3"/>
      <c r="C768" s="3"/>
      <c r="D768" s="3"/>
      <c r="E768" s="3"/>
      <c r="F768" s="3"/>
      <c r="G768" s="3"/>
      <c r="H768" s="3"/>
      <c r="I768" s="97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3"/>
      <c r="B769" s="3"/>
      <c r="C769" s="3"/>
      <c r="D769" s="3"/>
      <c r="E769" s="3"/>
      <c r="F769" s="3"/>
      <c r="G769" s="3"/>
      <c r="H769" s="3"/>
      <c r="I769" s="97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3"/>
      <c r="B770" s="3"/>
      <c r="C770" s="3"/>
      <c r="D770" s="3"/>
      <c r="E770" s="3"/>
      <c r="F770" s="3"/>
      <c r="G770" s="3"/>
      <c r="H770" s="3"/>
      <c r="I770" s="97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3"/>
      <c r="B771" s="3"/>
      <c r="C771" s="3"/>
      <c r="D771" s="3"/>
      <c r="E771" s="3"/>
      <c r="F771" s="3"/>
      <c r="G771" s="3"/>
      <c r="H771" s="3"/>
      <c r="I771" s="97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3"/>
      <c r="B772" s="3"/>
      <c r="C772" s="3"/>
      <c r="D772" s="3"/>
      <c r="E772" s="3"/>
      <c r="F772" s="3"/>
      <c r="G772" s="3"/>
      <c r="H772" s="3"/>
      <c r="I772" s="97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3"/>
      <c r="B773" s="3"/>
      <c r="C773" s="3"/>
      <c r="D773" s="3"/>
      <c r="E773" s="3"/>
      <c r="F773" s="3"/>
      <c r="G773" s="3"/>
      <c r="H773" s="3"/>
      <c r="I773" s="97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3"/>
      <c r="B774" s="3"/>
      <c r="C774" s="3"/>
      <c r="D774" s="3"/>
      <c r="E774" s="3"/>
      <c r="F774" s="3"/>
      <c r="G774" s="3"/>
      <c r="H774" s="3"/>
      <c r="I774" s="97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3"/>
      <c r="B775" s="3"/>
      <c r="C775" s="3"/>
      <c r="D775" s="3"/>
      <c r="E775" s="3"/>
      <c r="F775" s="3"/>
      <c r="G775" s="3"/>
      <c r="H775" s="3"/>
      <c r="I775" s="97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3"/>
      <c r="B776" s="3"/>
      <c r="C776" s="3"/>
      <c r="D776" s="3"/>
      <c r="E776" s="3"/>
      <c r="F776" s="3"/>
      <c r="G776" s="3"/>
      <c r="H776" s="3"/>
      <c r="I776" s="97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3"/>
      <c r="B777" s="3"/>
      <c r="C777" s="3"/>
      <c r="D777" s="3"/>
      <c r="E777" s="3"/>
      <c r="F777" s="3"/>
      <c r="G777" s="3"/>
      <c r="H777" s="3"/>
      <c r="I777" s="97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3"/>
      <c r="B778" s="3"/>
      <c r="C778" s="3"/>
      <c r="D778" s="3"/>
      <c r="E778" s="3"/>
      <c r="F778" s="3"/>
      <c r="G778" s="3"/>
      <c r="H778" s="3"/>
      <c r="I778" s="97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3"/>
      <c r="B779" s="3"/>
      <c r="C779" s="3"/>
      <c r="D779" s="3"/>
      <c r="E779" s="3"/>
      <c r="F779" s="3"/>
      <c r="G779" s="3"/>
      <c r="H779" s="3"/>
      <c r="I779" s="97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3"/>
      <c r="B780" s="3"/>
      <c r="C780" s="3"/>
      <c r="D780" s="3"/>
      <c r="E780" s="3"/>
      <c r="F780" s="3"/>
      <c r="G780" s="3"/>
      <c r="H780" s="3"/>
      <c r="I780" s="97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3"/>
      <c r="B781" s="3"/>
      <c r="C781" s="3"/>
      <c r="D781" s="3"/>
      <c r="E781" s="3"/>
      <c r="F781" s="3"/>
      <c r="G781" s="3"/>
      <c r="H781" s="3"/>
      <c r="I781" s="97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3"/>
      <c r="B782" s="3"/>
      <c r="C782" s="3"/>
      <c r="D782" s="3"/>
      <c r="E782" s="3"/>
      <c r="F782" s="3"/>
      <c r="G782" s="3"/>
      <c r="H782" s="3"/>
      <c r="I782" s="97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3"/>
      <c r="B783" s="3"/>
      <c r="C783" s="3"/>
      <c r="D783" s="3"/>
      <c r="E783" s="3"/>
      <c r="F783" s="3"/>
      <c r="G783" s="3"/>
      <c r="H783" s="3"/>
      <c r="I783" s="97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3"/>
      <c r="B784" s="3"/>
      <c r="C784" s="3"/>
      <c r="D784" s="3"/>
      <c r="E784" s="3"/>
      <c r="F784" s="3"/>
      <c r="G784" s="3"/>
      <c r="H784" s="3"/>
      <c r="I784" s="97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3"/>
      <c r="B785" s="3"/>
      <c r="C785" s="3"/>
      <c r="D785" s="3"/>
      <c r="E785" s="3"/>
      <c r="F785" s="3"/>
      <c r="G785" s="3"/>
      <c r="H785" s="3"/>
      <c r="I785" s="97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3"/>
      <c r="B786" s="3"/>
      <c r="C786" s="3"/>
      <c r="D786" s="3"/>
      <c r="E786" s="3"/>
      <c r="F786" s="3"/>
      <c r="G786" s="3"/>
      <c r="H786" s="3"/>
      <c r="I786" s="97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3"/>
      <c r="B787" s="3"/>
      <c r="C787" s="3"/>
      <c r="D787" s="3"/>
      <c r="E787" s="3"/>
      <c r="F787" s="3"/>
      <c r="G787" s="3"/>
      <c r="H787" s="3"/>
      <c r="I787" s="97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3"/>
      <c r="B788" s="3"/>
      <c r="C788" s="3"/>
      <c r="D788" s="3"/>
      <c r="E788" s="3"/>
      <c r="F788" s="3"/>
      <c r="G788" s="3"/>
      <c r="H788" s="3"/>
      <c r="I788" s="97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3"/>
      <c r="B789" s="3"/>
      <c r="C789" s="3"/>
      <c r="D789" s="3"/>
      <c r="E789" s="3"/>
      <c r="F789" s="3"/>
      <c r="G789" s="3"/>
      <c r="H789" s="3"/>
      <c r="I789" s="97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3"/>
      <c r="B790" s="3"/>
      <c r="C790" s="3"/>
      <c r="D790" s="3"/>
      <c r="E790" s="3"/>
      <c r="F790" s="3"/>
      <c r="G790" s="3"/>
      <c r="H790" s="3"/>
      <c r="I790" s="97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3"/>
      <c r="B791" s="3"/>
      <c r="C791" s="3"/>
      <c r="D791" s="3"/>
      <c r="E791" s="3"/>
      <c r="F791" s="3"/>
      <c r="G791" s="3"/>
      <c r="H791" s="3"/>
      <c r="I791" s="97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3"/>
      <c r="B792" s="3"/>
      <c r="C792" s="3"/>
      <c r="D792" s="3"/>
      <c r="E792" s="3"/>
      <c r="F792" s="3"/>
      <c r="G792" s="3"/>
      <c r="H792" s="3"/>
      <c r="I792" s="97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3"/>
      <c r="B793" s="3"/>
      <c r="C793" s="3"/>
      <c r="D793" s="3"/>
      <c r="E793" s="3"/>
      <c r="F793" s="3"/>
      <c r="G793" s="3"/>
      <c r="H793" s="3"/>
      <c r="I793" s="97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3"/>
      <c r="B794" s="3"/>
      <c r="C794" s="3"/>
      <c r="D794" s="3"/>
      <c r="E794" s="3"/>
      <c r="F794" s="3"/>
      <c r="G794" s="3"/>
      <c r="H794" s="3"/>
      <c r="I794" s="97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3"/>
      <c r="B795" s="3"/>
      <c r="C795" s="3"/>
      <c r="D795" s="3"/>
      <c r="E795" s="3"/>
      <c r="F795" s="3"/>
      <c r="G795" s="3"/>
      <c r="H795" s="3"/>
      <c r="I795" s="97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3"/>
      <c r="B796" s="3"/>
      <c r="C796" s="3"/>
      <c r="D796" s="3"/>
      <c r="E796" s="3"/>
      <c r="F796" s="3"/>
      <c r="G796" s="3"/>
      <c r="H796" s="3"/>
      <c r="I796" s="97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3"/>
      <c r="B797" s="3"/>
      <c r="C797" s="3"/>
      <c r="D797" s="3"/>
      <c r="E797" s="3"/>
      <c r="F797" s="3"/>
      <c r="G797" s="3"/>
      <c r="H797" s="3"/>
      <c r="I797" s="97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3"/>
      <c r="B798" s="3"/>
      <c r="C798" s="3"/>
      <c r="D798" s="3"/>
      <c r="E798" s="3"/>
      <c r="F798" s="3"/>
      <c r="G798" s="3"/>
      <c r="H798" s="3"/>
      <c r="I798" s="97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3"/>
      <c r="B799" s="3"/>
      <c r="C799" s="3"/>
      <c r="D799" s="3"/>
      <c r="E799" s="3"/>
      <c r="F799" s="3"/>
      <c r="G799" s="3"/>
      <c r="H799" s="3"/>
      <c r="I799" s="97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3"/>
      <c r="B800" s="3"/>
      <c r="C800" s="3"/>
      <c r="D800" s="3"/>
      <c r="E800" s="3"/>
      <c r="F800" s="3"/>
      <c r="G800" s="3"/>
      <c r="H800" s="3"/>
      <c r="I800" s="97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3"/>
      <c r="B801" s="3"/>
      <c r="C801" s="3"/>
      <c r="D801" s="3"/>
      <c r="E801" s="3"/>
      <c r="F801" s="3"/>
      <c r="G801" s="3"/>
      <c r="H801" s="3"/>
      <c r="I801" s="97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3"/>
      <c r="B802" s="3"/>
      <c r="C802" s="3"/>
      <c r="D802" s="3"/>
      <c r="E802" s="3"/>
      <c r="F802" s="3"/>
      <c r="G802" s="3"/>
      <c r="H802" s="3"/>
      <c r="I802" s="97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3"/>
      <c r="B803" s="3"/>
      <c r="C803" s="3"/>
      <c r="D803" s="3"/>
      <c r="E803" s="3"/>
      <c r="F803" s="3"/>
      <c r="G803" s="3"/>
      <c r="H803" s="3"/>
      <c r="I803" s="97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3"/>
      <c r="B804" s="3"/>
      <c r="C804" s="3"/>
      <c r="D804" s="3"/>
      <c r="E804" s="3"/>
      <c r="F804" s="3"/>
      <c r="G804" s="3"/>
      <c r="H804" s="3"/>
      <c r="I804" s="97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3"/>
      <c r="B805" s="3"/>
      <c r="C805" s="3"/>
      <c r="D805" s="3"/>
      <c r="E805" s="3"/>
      <c r="F805" s="3"/>
      <c r="G805" s="3"/>
      <c r="H805" s="3"/>
      <c r="I805" s="97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3"/>
      <c r="B806" s="3"/>
      <c r="C806" s="3"/>
      <c r="D806" s="3"/>
      <c r="E806" s="3"/>
      <c r="F806" s="3"/>
      <c r="G806" s="3"/>
      <c r="H806" s="3"/>
      <c r="I806" s="97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3"/>
      <c r="B807" s="3"/>
      <c r="C807" s="3"/>
      <c r="D807" s="3"/>
      <c r="E807" s="3"/>
      <c r="F807" s="3"/>
      <c r="G807" s="3"/>
      <c r="H807" s="3"/>
      <c r="I807" s="97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3"/>
      <c r="B808" s="3"/>
      <c r="C808" s="3"/>
      <c r="D808" s="3"/>
      <c r="E808" s="3"/>
      <c r="F808" s="3"/>
      <c r="G808" s="3"/>
      <c r="H808" s="3"/>
      <c r="I808" s="97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3"/>
      <c r="B809" s="3"/>
      <c r="C809" s="3"/>
      <c r="D809" s="3"/>
      <c r="E809" s="3"/>
      <c r="F809" s="3"/>
      <c r="G809" s="3"/>
      <c r="H809" s="3"/>
      <c r="I809" s="97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3"/>
      <c r="B810" s="3"/>
      <c r="C810" s="3"/>
      <c r="D810" s="3"/>
      <c r="E810" s="3"/>
      <c r="F810" s="3"/>
      <c r="G810" s="3"/>
      <c r="H810" s="3"/>
      <c r="I810" s="97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3"/>
      <c r="B811" s="3"/>
      <c r="C811" s="3"/>
      <c r="D811" s="3"/>
      <c r="E811" s="3"/>
      <c r="F811" s="3"/>
      <c r="G811" s="3"/>
      <c r="H811" s="3"/>
      <c r="I811" s="97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3"/>
      <c r="B812" s="3"/>
      <c r="C812" s="3"/>
      <c r="D812" s="3"/>
      <c r="E812" s="3"/>
      <c r="F812" s="3"/>
      <c r="G812" s="3"/>
      <c r="H812" s="3"/>
      <c r="I812" s="97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3"/>
      <c r="B813" s="3"/>
      <c r="C813" s="3"/>
      <c r="D813" s="3"/>
      <c r="E813" s="3"/>
      <c r="F813" s="3"/>
      <c r="G813" s="3"/>
      <c r="H813" s="3"/>
      <c r="I813" s="97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3"/>
      <c r="B814" s="3"/>
      <c r="C814" s="3"/>
      <c r="D814" s="3"/>
      <c r="E814" s="3"/>
      <c r="F814" s="3"/>
      <c r="G814" s="3"/>
      <c r="H814" s="3"/>
      <c r="I814" s="97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3"/>
      <c r="B815" s="3"/>
      <c r="C815" s="3"/>
      <c r="D815" s="3"/>
      <c r="E815" s="3"/>
      <c r="F815" s="3"/>
      <c r="G815" s="3"/>
      <c r="H815" s="3"/>
      <c r="I815" s="97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3"/>
      <c r="B816" s="3"/>
      <c r="C816" s="3"/>
      <c r="D816" s="3"/>
      <c r="E816" s="3"/>
      <c r="F816" s="3"/>
      <c r="G816" s="3"/>
      <c r="H816" s="3"/>
      <c r="I816" s="97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3"/>
      <c r="B817" s="3"/>
      <c r="C817" s="3"/>
      <c r="D817" s="3"/>
      <c r="E817" s="3"/>
      <c r="F817" s="3"/>
      <c r="G817" s="3"/>
      <c r="H817" s="3"/>
      <c r="I817" s="97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3"/>
      <c r="B818" s="3"/>
      <c r="C818" s="3"/>
      <c r="D818" s="3"/>
      <c r="E818" s="3"/>
      <c r="F818" s="3"/>
      <c r="G818" s="3"/>
      <c r="H818" s="3"/>
      <c r="I818" s="97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3"/>
      <c r="B819" s="3"/>
      <c r="C819" s="3"/>
      <c r="D819" s="3"/>
      <c r="E819" s="3"/>
      <c r="F819" s="3"/>
      <c r="G819" s="3"/>
      <c r="H819" s="3"/>
      <c r="I819" s="97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3"/>
      <c r="B820" s="3"/>
      <c r="C820" s="3"/>
      <c r="D820" s="3"/>
      <c r="E820" s="3"/>
      <c r="F820" s="3"/>
      <c r="G820" s="3"/>
      <c r="H820" s="3"/>
      <c r="I820" s="97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3"/>
      <c r="B821" s="3"/>
      <c r="C821" s="3"/>
      <c r="D821" s="3"/>
      <c r="E821" s="3"/>
      <c r="F821" s="3"/>
      <c r="G821" s="3"/>
      <c r="H821" s="3"/>
      <c r="I821" s="97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3"/>
      <c r="B822" s="3"/>
      <c r="C822" s="3"/>
      <c r="D822" s="3"/>
      <c r="E822" s="3"/>
      <c r="F822" s="3"/>
      <c r="G822" s="3"/>
      <c r="H822" s="3"/>
      <c r="I822" s="97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3"/>
      <c r="B823" s="3"/>
      <c r="C823" s="3"/>
      <c r="D823" s="3"/>
      <c r="E823" s="3"/>
      <c r="F823" s="3"/>
      <c r="G823" s="3"/>
      <c r="H823" s="3"/>
      <c r="I823" s="97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3"/>
      <c r="B824" s="3"/>
      <c r="C824" s="3"/>
      <c r="D824" s="3"/>
      <c r="E824" s="3"/>
      <c r="F824" s="3"/>
      <c r="G824" s="3"/>
      <c r="H824" s="3"/>
      <c r="I824" s="97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3"/>
      <c r="B825" s="3"/>
      <c r="C825" s="3"/>
      <c r="D825" s="3"/>
      <c r="E825" s="3"/>
      <c r="F825" s="3"/>
      <c r="G825" s="3"/>
      <c r="H825" s="3"/>
      <c r="I825" s="97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3"/>
      <c r="B826" s="3"/>
      <c r="C826" s="3"/>
      <c r="D826" s="3"/>
      <c r="E826" s="3"/>
      <c r="F826" s="3"/>
      <c r="G826" s="3"/>
      <c r="H826" s="3"/>
      <c r="I826" s="97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3"/>
      <c r="B827" s="3"/>
      <c r="C827" s="3"/>
      <c r="D827" s="3"/>
      <c r="E827" s="3"/>
      <c r="F827" s="3"/>
      <c r="G827" s="3"/>
      <c r="H827" s="3"/>
      <c r="I827" s="97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3"/>
      <c r="B828" s="3"/>
      <c r="C828" s="3"/>
      <c r="D828" s="3"/>
      <c r="E828" s="3"/>
      <c r="F828" s="3"/>
      <c r="G828" s="3"/>
      <c r="H828" s="3"/>
      <c r="I828" s="97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3"/>
      <c r="B829" s="3"/>
      <c r="C829" s="3"/>
      <c r="D829" s="3"/>
      <c r="E829" s="3"/>
      <c r="F829" s="3"/>
      <c r="G829" s="3"/>
      <c r="H829" s="3"/>
      <c r="I829" s="97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3"/>
      <c r="B830" s="3"/>
      <c r="C830" s="3"/>
      <c r="D830" s="3"/>
      <c r="E830" s="3"/>
      <c r="F830" s="3"/>
      <c r="G830" s="3"/>
      <c r="H830" s="3"/>
      <c r="I830" s="97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3"/>
      <c r="B831" s="3"/>
      <c r="C831" s="3"/>
      <c r="D831" s="3"/>
      <c r="E831" s="3"/>
      <c r="F831" s="3"/>
      <c r="G831" s="3"/>
      <c r="H831" s="3"/>
      <c r="I831" s="97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3"/>
      <c r="B832" s="3"/>
      <c r="C832" s="3"/>
      <c r="D832" s="3"/>
      <c r="E832" s="3"/>
      <c r="F832" s="3"/>
      <c r="G832" s="3"/>
      <c r="H832" s="3"/>
      <c r="I832" s="97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3"/>
      <c r="B833" s="3"/>
      <c r="C833" s="3"/>
      <c r="D833" s="3"/>
      <c r="E833" s="3"/>
      <c r="F833" s="3"/>
      <c r="G833" s="3"/>
      <c r="H833" s="3"/>
      <c r="I833" s="97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3"/>
      <c r="B834" s="3"/>
      <c r="C834" s="3"/>
      <c r="D834" s="3"/>
      <c r="E834" s="3"/>
      <c r="F834" s="3"/>
      <c r="G834" s="3"/>
      <c r="H834" s="3"/>
      <c r="I834" s="97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3"/>
      <c r="B835" s="3"/>
      <c r="C835" s="3"/>
      <c r="D835" s="3"/>
      <c r="E835" s="3"/>
      <c r="F835" s="3"/>
      <c r="G835" s="3"/>
      <c r="H835" s="3"/>
      <c r="I835" s="97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3"/>
      <c r="B836" s="3"/>
      <c r="C836" s="3"/>
      <c r="D836" s="3"/>
      <c r="E836" s="3"/>
      <c r="F836" s="3"/>
      <c r="G836" s="3"/>
      <c r="H836" s="3"/>
      <c r="I836" s="97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3"/>
      <c r="B837" s="3"/>
      <c r="C837" s="3"/>
      <c r="D837" s="3"/>
      <c r="E837" s="3"/>
      <c r="F837" s="3"/>
      <c r="G837" s="3"/>
      <c r="H837" s="3"/>
      <c r="I837" s="97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3"/>
      <c r="B838" s="3"/>
      <c r="C838" s="3"/>
      <c r="D838" s="3"/>
      <c r="E838" s="3"/>
      <c r="F838" s="3"/>
      <c r="G838" s="3"/>
      <c r="H838" s="3"/>
      <c r="I838" s="97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3"/>
      <c r="B839" s="3"/>
      <c r="C839" s="3"/>
      <c r="D839" s="3"/>
      <c r="E839" s="3"/>
      <c r="F839" s="3"/>
      <c r="G839" s="3"/>
      <c r="H839" s="3"/>
      <c r="I839" s="97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3"/>
      <c r="B840" s="3"/>
      <c r="C840" s="3"/>
      <c r="D840" s="3"/>
      <c r="E840" s="3"/>
      <c r="F840" s="3"/>
      <c r="G840" s="3"/>
      <c r="H840" s="3"/>
      <c r="I840" s="97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3"/>
      <c r="B841" s="3"/>
      <c r="C841" s="3"/>
      <c r="D841" s="3"/>
      <c r="E841" s="3"/>
      <c r="F841" s="3"/>
      <c r="G841" s="3"/>
      <c r="H841" s="3"/>
      <c r="I841" s="97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3"/>
      <c r="B842" s="3"/>
      <c r="C842" s="3"/>
      <c r="D842" s="3"/>
      <c r="E842" s="3"/>
      <c r="F842" s="3"/>
      <c r="G842" s="3"/>
      <c r="H842" s="3"/>
      <c r="I842" s="97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3"/>
      <c r="B843" s="3"/>
      <c r="C843" s="3"/>
      <c r="D843" s="3"/>
      <c r="E843" s="3"/>
      <c r="F843" s="3"/>
      <c r="G843" s="3"/>
      <c r="H843" s="3"/>
      <c r="I843" s="97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3"/>
      <c r="B844" s="3"/>
      <c r="C844" s="3"/>
      <c r="D844" s="3"/>
      <c r="E844" s="3"/>
      <c r="F844" s="3"/>
      <c r="G844" s="3"/>
      <c r="H844" s="3"/>
      <c r="I844" s="97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3"/>
      <c r="B845" s="3"/>
      <c r="C845" s="3"/>
      <c r="D845" s="3"/>
      <c r="E845" s="3"/>
      <c r="F845" s="3"/>
      <c r="G845" s="3"/>
      <c r="H845" s="3"/>
      <c r="I845" s="97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3"/>
      <c r="B846" s="3"/>
      <c r="C846" s="3"/>
      <c r="D846" s="3"/>
      <c r="E846" s="3"/>
      <c r="F846" s="3"/>
      <c r="G846" s="3"/>
      <c r="H846" s="3"/>
      <c r="I846" s="97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3"/>
      <c r="B847" s="3"/>
      <c r="C847" s="3"/>
      <c r="D847" s="3"/>
      <c r="E847" s="3"/>
      <c r="F847" s="3"/>
      <c r="G847" s="3"/>
      <c r="H847" s="3"/>
      <c r="I847" s="97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3"/>
      <c r="B848" s="3"/>
      <c r="C848" s="3"/>
      <c r="D848" s="3"/>
      <c r="E848" s="3"/>
      <c r="F848" s="3"/>
      <c r="G848" s="3"/>
      <c r="H848" s="3"/>
      <c r="I848" s="97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3"/>
      <c r="B849" s="3"/>
      <c r="C849" s="3"/>
      <c r="D849" s="3"/>
      <c r="E849" s="3"/>
      <c r="F849" s="3"/>
      <c r="G849" s="3"/>
      <c r="H849" s="3"/>
      <c r="I849" s="97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3"/>
      <c r="B850" s="3"/>
      <c r="C850" s="3"/>
      <c r="D850" s="3"/>
      <c r="E850" s="3"/>
      <c r="F850" s="3"/>
      <c r="G850" s="3"/>
      <c r="H850" s="3"/>
      <c r="I850" s="97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3"/>
      <c r="B851" s="3"/>
      <c r="C851" s="3"/>
      <c r="D851" s="3"/>
      <c r="E851" s="3"/>
      <c r="F851" s="3"/>
      <c r="G851" s="3"/>
      <c r="H851" s="3"/>
      <c r="I851" s="97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3"/>
      <c r="B852" s="3"/>
      <c r="C852" s="3"/>
      <c r="D852" s="3"/>
      <c r="E852" s="3"/>
      <c r="F852" s="3"/>
      <c r="G852" s="3"/>
      <c r="H852" s="3"/>
      <c r="I852" s="97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3"/>
      <c r="B853" s="3"/>
      <c r="C853" s="3"/>
      <c r="D853" s="3"/>
      <c r="E853" s="3"/>
      <c r="F853" s="3"/>
      <c r="G853" s="3"/>
      <c r="H853" s="3"/>
      <c r="I853" s="97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3"/>
      <c r="B854" s="3"/>
      <c r="C854" s="3"/>
      <c r="D854" s="3"/>
      <c r="E854" s="3"/>
      <c r="F854" s="3"/>
      <c r="G854" s="3"/>
      <c r="H854" s="3"/>
      <c r="I854" s="97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3"/>
      <c r="B855" s="3"/>
      <c r="C855" s="3"/>
      <c r="D855" s="3"/>
      <c r="E855" s="3"/>
      <c r="F855" s="3"/>
      <c r="G855" s="3"/>
      <c r="H855" s="3"/>
      <c r="I855" s="97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3"/>
      <c r="B856" s="3"/>
      <c r="C856" s="3"/>
      <c r="D856" s="3"/>
      <c r="E856" s="3"/>
      <c r="F856" s="3"/>
      <c r="G856" s="3"/>
      <c r="H856" s="3"/>
      <c r="I856" s="97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3"/>
      <c r="B857" s="3"/>
      <c r="C857" s="3"/>
      <c r="D857" s="3"/>
      <c r="E857" s="3"/>
      <c r="F857" s="3"/>
      <c r="G857" s="3"/>
      <c r="H857" s="3"/>
      <c r="I857" s="97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3"/>
      <c r="B858" s="3"/>
      <c r="C858" s="3"/>
      <c r="D858" s="3"/>
      <c r="E858" s="3"/>
      <c r="F858" s="3"/>
      <c r="G858" s="3"/>
      <c r="H858" s="3"/>
      <c r="I858" s="97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3"/>
      <c r="B859" s="3"/>
      <c r="C859" s="3"/>
      <c r="D859" s="3"/>
      <c r="E859" s="3"/>
      <c r="F859" s="3"/>
      <c r="G859" s="3"/>
      <c r="H859" s="3"/>
      <c r="I859" s="97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3"/>
      <c r="B860" s="3"/>
      <c r="C860" s="3"/>
      <c r="D860" s="3"/>
      <c r="E860" s="3"/>
      <c r="F860" s="3"/>
      <c r="G860" s="3"/>
      <c r="H860" s="3"/>
      <c r="I860" s="97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3"/>
      <c r="B861" s="3"/>
      <c r="C861" s="3"/>
      <c r="D861" s="3"/>
      <c r="E861" s="3"/>
      <c r="F861" s="3"/>
      <c r="G861" s="3"/>
      <c r="H861" s="3"/>
      <c r="I861" s="97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3"/>
      <c r="B862" s="3"/>
      <c r="C862" s="3"/>
      <c r="D862" s="3"/>
      <c r="E862" s="3"/>
      <c r="F862" s="3"/>
      <c r="G862" s="3"/>
      <c r="H862" s="3"/>
      <c r="I862" s="97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3"/>
      <c r="B863" s="3"/>
      <c r="C863" s="3"/>
      <c r="D863" s="3"/>
      <c r="E863" s="3"/>
      <c r="F863" s="3"/>
      <c r="G863" s="3"/>
      <c r="H863" s="3"/>
      <c r="I863" s="97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3"/>
      <c r="B864" s="3"/>
      <c r="C864" s="3"/>
      <c r="D864" s="3"/>
      <c r="E864" s="3"/>
      <c r="F864" s="3"/>
      <c r="G864" s="3"/>
      <c r="H864" s="3"/>
      <c r="I864" s="97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3"/>
      <c r="B865" s="3"/>
      <c r="C865" s="3"/>
      <c r="D865" s="3"/>
      <c r="E865" s="3"/>
      <c r="F865" s="3"/>
      <c r="G865" s="3"/>
      <c r="H865" s="3"/>
      <c r="I865" s="97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3"/>
      <c r="B866" s="3"/>
      <c r="C866" s="3"/>
      <c r="D866" s="3"/>
      <c r="E866" s="3"/>
      <c r="F866" s="3"/>
      <c r="G866" s="3"/>
      <c r="H866" s="3"/>
      <c r="I866" s="97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3"/>
      <c r="B867" s="3"/>
      <c r="C867" s="3"/>
      <c r="D867" s="3"/>
      <c r="E867" s="3"/>
      <c r="F867" s="3"/>
      <c r="G867" s="3"/>
      <c r="H867" s="3"/>
      <c r="I867" s="97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3"/>
      <c r="B868" s="3"/>
      <c r="C868" s="3"/>
      <c r="D868" s="3"/>
      <c r="E868" s="3"/>
      <c r="F868" s="3"/>
      <c r="G868" s="3"/>
      <c r="H868" s="3"/>
      <c r="I868" s="97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3"/>
      <c r="B869" s="3"/>
      <c r="C869" s="3"/>
      <c r="D869" s="3"/>
      <c r="E869" s="3"/>
      <c r="F869" s="3"/>
      <c r="G869" s="3"/>
      <c r="H869" s="3"/>
      <c r="I869" s="97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3"/>
      <c r="B870" s="3"/>
      <c r="C870" s="3"/>
      <c r="D870" s="3"/>
      <c r="E870" s="3"/>
      <c r="F870" s="3"/>
      <c r="G870" s="3"/>
      <c r="H870" s="3"/>
      <c r="I870" s="97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3"/>
      <c r="B871" s="3"/>
      <c r="C871" s="3"/>
      <c r="D871" s="3"/>
      <c r="E871" s="3"/>
      <c r="F871" s="3"/>
      <c r="G871" s="3"/>
      <c r="H871" s="3"/>
      <c r="I871" s="97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3"/>
      <c r="B872" s="3"/>
      <c r="C872" s="3"/>
      <c r="D872" s="3"/>
      <c r="E872" s="3"/>
      <c r="F872" s="3"/>
      <c r="G872" s="3"/>
      <c r="H872" s="3"/>
      <c r="I872" s="97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3"/>
      <c r="B873" s="3"/>
      <c r="C873" s="3"/>
      <c r="D873" s="3"/>
      <c r="E873" s="3"/>
      <c r="F873" s="3"/>
      <c r="G873" s="3"/>
      <c r="H873" s="3"/>
      <c r="I873" s="97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3"/>
      <c r="B874" s="3"/>
      <c r="C874" s="3"/>
      <c r="D874" s="3"/>
      <c r="E874" s="3"/>
      <c r="F874" s="3"/>
      <c r="G874" s="3"/>
      <c r="H874" s="3"/>
      <c r="I874" s="97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3"/>
      <c r="B875" s="3"/>
      <c r="C875" s="3"/>
      <c r="D875" s="3"/>
      <c r="E875" s="3"/>
      <c r="F875" s="3"/>
      <c r="G875" s="3"/>
      <c r="H875" s="3"/>
      <c r="I875" s="97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3"/>
      <c r="B876" s="3"/>
      <c r="C876" s="3"/>
      <c r="D876" s="3"/>
      <c r="E876" s="3"/>
      <c r="F876" s="3"/>
      <c r="G876" s="3"/>
      <c r="H876" s="3"/>
      <c r="I876" s="97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3"/>
      <c r="B877" s="3"/>
      <c r="C877" s="3"/>
      <c r="D877" s="3"/>
      <c r="E877" s="3"/>
      <c r="F877" s="3"/>
      <c r="G877" s="3"/>
      <c r="H877" s="3"/>
      <c r="I877" s="97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3"/>
      <c r="B878" s="3"/>
      <c r="C878" s="3"/>
      <c r="D878" s="3"/>
      <c r="E878" s="3"/>
      <c r="F878" s="3"/>
      <c r="G878" s="3"/>
      <c r="H878" s="3"/>
      <c r="I878" s="97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3"/>
      <c r="B879" s="3"/>
      <c r="C879" s="3"/>
      <c r="D879" s="3"/>
      <c r="E879" s="3"/>
      <c r="F879" s="3"/>
      <c r="G879" s="3"/>
      <c r="H879" s="3"/>
      <c r="I879" s="97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3"/>
      <c r="B880" s="3"/>
      <c r="C880" s="3"/>
      <c r="D880" s="3"/>
      <c r="E880" s="3"/>
      <c r="F880" s="3"/>
      <c r="G880" s="3"/>
      <c r="H880" s="3"/>
      <c r="I880" s="97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3"/>
      <c r="B881" s="3"/>
      <c r="C881" s="3"/>
      <c r="D881" s="3"/>
      <c r="E881" s="3"/>
      <c r="F881" s="3"/>
      <c r="G881" s="3"/>
      <c r="H881" s="3"/>
      <c r="I881" s="97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3"/>
      <c r="B882" s="3"/>
      <c r="C882" s="3"/>
      <c r="D882" s="3"/>
      <c r="E882" s="3"/>
      <c r="F882" s="3"/>
      <c r="G882" s="3"/>
      <c r="H882" s="3"/>
      <c r="I882" s="97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3"/>
      <c r="B883" s="3"/>
      <c r="C883" s="3"/>
      <c r="D883" s="3"/>
      <c r="E883" s="3"/>
      <c r="F883" s="3"/>
      <c r="G883" s="3"/>
      <c r="H883" s="3"/>
      <c r="I883" s="97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3"/>
      <c r="B884" s="3"/>
      <c r="C884" s="3"/>
      <c r="D884" s="3"/>
      <c r="E884" s="3"/>
      <c r="F884" s="3"/>
      <c r="G884" s="3"/>
      <c r="H884" s="3"/>
      <c r="I884" s="97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3"/>
      <c r="B885" s="3"/>
      <c r="C885" s="3"/>
      <c r="D885" s="3"/>
      <c r="E885" s="3"/>
      <c r="F885" s="3"/>
      <c r="G885" s="3"/>
      <c r="H885" s="3"/>
      <c r="I885" s="97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3"/>
      <c r="B886" s="3"/>
      <c r="C886" s="3"/>
      <c r="D886" s="3"/>
      <c r="E886" s="3"/>
      <c r="F886" s="3"/>
      <c r="G886" s="3"/>
      <c r="H886" s="3"/>
      <c r="I886" s="97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3"/>
      <c r="B887" s="3"/>
      <c r="C887" s="3"/>
      <c r="D887" s="3"/>
      <c r="E887" s="3"/>
      <c r="F887" s="3"/>
      <c r="G887" s="3"/>
      <c r="H887" s="3"/>
      <c r="I887" s="97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3"/>
      <c r="B888" s="3"/>
      <c r="C888" s="3"/>
      <c r="D888" s="3"/>
      <c r="E888" s="3"/>
      <c r="F888" s="3"/>
      <c r="G888" s="3"/>
      <c r="H888" s="3"/>
      <c r="I888" s="97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3"/>
      <c r="B889" s="3"/>
      <c r="C889" s="3"/>
      <c r="D889" s="3"/>
      <c r="E889" s="3"/>
      <c r="F889" s="3"/>
      <c r="G889" s="3"/>
      <c r="H889" s="3"/>
      <c r="I889" s="97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3"/>
      <c r="B890" s="3"/>
      <c r="C890" s="3"/>
      <c r="D890" s="3"/>
      <c r="E890" s="3"/>
      <c r="F890" s="3"/>
      <c r="G890" s="3"/>
      <c r="H890" s="3"/>
      <c r="I890" s="97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3"/>
      <c r="B891" s="3"/>
      <c r="C891" s="3"/>
      <c r="D891" s="3"/>
      <c r="E891" s="3"/>
      <c r="F891" s="3"/>
      <c r="G891" s="3"/>
      <c r="H891" s="3"/>
      <c r="I891" s="97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3"/>
      <c r="B892" s="3"/>
      <c r="C892" s="3"/>
      <c r="D892" s="3"/>
      <c r="E892" s="3"/>
      <c r="F892" s="3"/>
      <c r="G892" s="3"/>
      <c r="H892" s="3"/>
      <c r="I892" s="97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3"/>
      <c r="B893" s="3"/>
      <c r="C893" s="3"/>
      <c r="D893" s="3"/>
      <c r="E893" s="3"/>
      <c r="F893" s="3"/>
      <c r="G893" s="3"/>
      <c r="H893" s="3"/>
      <c r="I893" s="97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3"/>
      <c r="B894" s="3"/>
      <c r="C894" s="3"/>
      <c r="D894" s="3"/>
      <c r="E894" s="3"/>
      <c r="F894" s="3"/>
      <c r="G894" s="3"/>
      <c r="H894" s="3"/>
      <c r="I894" s="97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3"/>
      <c r="B895" s="3"/>
      <c r="C895" s="3"/>
      <c r="D895" s="3"/>
      <c r="E895" s="3"/>
      <c r="F895" s="3"/>
      <c r="G895" s="3"/>
      <c r="H895" s="3"/>
      <c r="I895" s="97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3"/>
      <c r="B896" s="3"/>
      <c r="C896" s="3"/>
      <c r="D896" s="3"/>
      <c r="E896" s="3"/>
      <c r="F896" s="3"/>
      <c r="G896" s="3"/>
      <c r="H896" s="3"/>
      <c r="I896" s="97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3"/>
      <c r="B897" s="3"/>
      <c r="C897" s="3"/>
      <c r="D897" s="3"/>
      <c r="E897" s="3"/>
      <c r="F897" s="3"/>
      <c r="G897" s="3"/>
      <c r="H897" s="3"/>
      <c r="I897" s="97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3"/>
      <c r="B898" s="3"/>
      <c r="C898" s="3"/>
      <c r="D898" s="3"/>
      <c r="E898" s="3"/>
      <c r="F898" s="3"/>
      <c r="G898" s="3"/>
      <c r="H898" s="3"/>
      <c r="I898" s="97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3"/>
      <c r="B899" s="3"/>
      <c r="C899" s="3"/>
      <c r="D899" s="3"/>
      <c r="E899" s="3"/>
      <c r="F899" s="3"/>
      <c r="G899" s="3"/>
      <c r="H899" s="3"/>
      <c r="I899" s="97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3"/>
      <c r="B900" s="3"/>
      <c r="C900" s="3"/>
      <c r="D900" s="3"/>
      <c r="E900" s="3"/>
      <c r="F900" s="3"/>
      <c r="G900" s="3"/>
      <c r="H900" s="3"/>
      <c r="I900" s="97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3"/>
      <c r="B901" s="3"/>
      <c r="C901" s="3"/>
      <c r="D901" s="3"/>
      <c r="E901" s="3"/>
      <c r="F901" s="3"/>
      <c r="G901" s="3"/>
      <c r="H901" s="3"/>
      <c r="I901" s="97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3"/>
      <c r="B902" s="3"/>
      <c r="C902" s="3"/>
      <c r="D902" s="3"/>
      <c r="E902" s="3"/>
      <c r="F902" s="3"/>
      <c r="G902" s="3"/>
      <c r="H902" s="3"/>
      <c r="I902" s="97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3"/>
      <c r="B903" s="3"/>
      <c r="C903" s="3"/>
      <c r="D903" s="3"/>
      <c r="E903" s="3"/>
      <c r="F903" s="3"/>
      <c r="G903" s="3"/>
      <c r="H903" s="3"/>
      <c r="I903" s="97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3"/>
      <c r="B904" s="3"/>
      <c r="C904" s="3"/>
      <c r="D904" s="3"/>
      <c r="E904" s="3"/>
      <c r="F904" s="3"/>
      <c r="G904" s="3"/>
      <c r="H904" s="3"/>
      <c r="I904" s="97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3"/>
      <c r="B905" s="3"/>
      <c r="C905" s="3"/>
      <c r="D905" s="3"/>
      <c r="E905" s="3"/>
      <c r="F905" s="3"/>
      <c r="G905" s="3"/>
      <c r="H905" s="3"/>
      <c r="I905" s="97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3"/>
      <c r="B906" s="3"/>
      <c r="C906" s="3"/>
      <c r="D906" s="3"/>
      <c r="E906" s="3"/>
      <c r="F906" s="3"/>
      <c r="G906" s="3"/>
      <c r="H906" s="3"/>
      <c r="I906" s="97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3"/>
      <c r="B907" s="3"/>
      <c r="C907" s="3"/>
      <c r="D907" s="3"/>
      <c r="E907" s="3"/>
      <c r="F907" s="3"/>
      <c r="G907" s="3"/>
      <c r="H907" s="3"/>
      <c r="I907" s="97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3"/>
      <c r="B908" s="3"/>
      <c r="C908" s="3"/>
      <c r="D908" s="3"/>
      <c r="E908" s="3"/>
      <c r="F908" s="3"/>
      <c r="G908" s="3"/>
      <c r="H908" s="3"/>
      <c r="I908" s="97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3"/>
      <c r="B909" s="3"/>
      <c r="C909" s="3"/>
      <c r="D909" s="3"/>
      <c r="E909" s="3"/>
      <c r="F909" s="3"/>
      <c r="G909" s="3"/>
      <c r="H909" s="3"/>
      <c r="I909" s="97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3"/>
      <c r="B910" s="3"/>
      <c r="C910" s="3"/>
      <c r="D910" s="3"/>
      <c r="E910" s="3"/>
      <c r="F910" s="3"/>
      <c r="G910" s="3"/>
      <c r="H910" s="3"/>
      <c r="I910" s="97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3"/>
      <c r="B911" s="3"/>
      <c r="C911" s="3"/>
      <c r="D911" s="3"/>
      <c r="E911" s="3"/>
      <c r="F911" s="3"/>
      <c r="G911" s="3"/>
      <c r="H911" s="3"/>
      <c r="I911" s="97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3"/>
      <c r="B912" s="3"/>
      <c r="C912" s="3"/>
      <c r="D912" s="3"/>
      <c r="E912" s="3"/>
      <c r="F912" s="3"/>
      <c r="G912" s="3"/>
      <c r="H912" s="3"/>
      <c r="I912" s="97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3"/>
      <c r="B913" s="3"/>
      <c r="C913" s="3"/>
      <c r="D913" s="3"/>
      <c r="E913" s="3"/>
      <c r="F913" s="3"/>
      <c r="G913" s="3"/>
      <c r="H913" s="3"/>
      <c r="I913" s="97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3"/>
      <c r="B914" s="3"/>
      <c r="C914" s="3"/>
      <c r="D914" s="3"/>
      <c r="E914" s="3"/>
      <c r="F914" s="3"/>
      <c r="G914" s="3"/>
      <c r="H914" s="3"/>
      <c r="I914" s="97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3"/>
      <c r="B915" s="3"/>
      <c r="C915" s="3"/>
      <c r="D915" s="3"/>
      <c r="E915" s="3"/>
      <c r="F915" s="3"/>
      <c r="G915" s="3"/>
      <c r="H915" s="3"/>
      <c r="I915" s="97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3"/>
      <c r="B916" s="3"/>
      <c r="C916" s="3"/>
      <c r="D916" s="3"/>
      <c r="E916" s="3"/>
      <c r="F916" s="3"/>
      <c r="G916" s="3"/>
      <c r="H916" s="3"/>
      <c r="I916" s="97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3"/>
      <c r="B917" s="3"/>
      <c r="C917" s="3"/>
      <c r="D917" s="3"/>
      <c r="E917" s="3"/>
      <c r="F917" s="3"/>
      <c r="G917" s="3"/>
      <c r="H917" s="3"/>
      <c r="I917" s="97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3"/>
      <c r="B918" s="3"/>
      <c r="C918" s="3"/>
      <c r="D918" s="3"/>
      <c r="E918" s="3"/>
      <c r="F918" s="3"/>
      <c r="G918" s="3"/>
      <c r="H918" s="3"/>
      <c r="I918" s="97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3"/>
      <c r="B919" s="3"/>
      <c r="C919" s="3"/>
      <c r="D919" s="3"/>
      <c r="E919" s="3"/>
      <c r="F919" s="3"/>
      <c r="G919" s="3"/>
      <c r="H919" s="3"/>
      <c r="I919" s="97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3"/>
      <c r="B920" s="3"/>
      <c r="C920" s="3"/>
      <c r="D920" s="3"/>
      <c r="E920" s="3"/>
      <c r="F920" s="3"/>
      <c r="G920" s="3"/>
      <c r="H920" s="3"/>
      <c r="I920" s="97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3"/>
      <c r="B921" s="3"/>
      <c r="C921" s="3"/>
      <c r="D921" s="3"/>
      <c r="E921" s="3"/>
      <c r="F921" s="3"/>
      <c r="G921" s="3"/>
      <c r="H921" s="3"/>
      <c r="I921" s="97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3"/>
      <c r="B922" s="3"/>
      <c r="C922" s="3"/>
      <c r="D922" s="3"/>
      <c r="E922" s="3"/>
      <c r="F922" s="3"/>
      <c r="G922" s="3"/>
      <c r="H922" s="3"/>
      <c r="I922" s="97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3"/>
      <c r="B923" s="3"/>
      <c r="C923" s="3"/>
      <c r="D923" s="3"/>
      <c r="E923" s="3"/>
      <c r="F923" s="3"/>
      <c r="G923" s="3"/>
      <c r="H923" s="3"/>
      <c r="I923" s="97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3"/>
      <c r="B924" s="3"/>
      <c r="C924" s="3"/>
      <c r="D924" s="3"/>
      <c r="E924" s="3"/>
      <c r="F924" s="3"/>
      <c r="G924" s="3"/>
      <c r="H924" s="3"/>
      <c r="I924" s="97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3"/>
      <c r="B925" s="3"/>
      <c r="C925" s="3"/>
      <c r="D925" s="3"/>
      <c r="E925" s="3"/>
      <c r="F925" s="3"/>
      <c r="G925" s="3"/>
      <c r="H925" s="3"/>
      <c r="I925" s="97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3"/>
      <c r="B926" s="3"/>
      <c r="C926" s="3"/>
      <c r="D926" s="3"/>
      <c r="E926" s="3"/>
      <c r="F926" s="3"/>
      <c r="G926" s="3"/>
      <c r="H926" s="3"/>
      <c r="I926" s="97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3"/>
      <c r="B927" s="3"/>
      <c r="C927" s="3"/>
      <c r="D927" s="3"/>
      <c r="E927" s="3"/>
      <c r="F927" s="3"/>
      <c r="G927" s="3"/>
      <c r="H927" s="3"/>
      <c r="I927" s="97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3"/>
      <c r="B928" s="3"/>
      <c r="C928" s="3"/>
      <c r="D928" s="3"/>
      <c r="E928" s="3"/>
      <c r="F928" s="3"/>
      <c r="G928" s="3"/>
      <c r="H928" s="3"/>
      <c r="I928" s="97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3"/>
      <c r="B929" s="3"/>
      <c r="C929" s="3"/>
      <c r="D929" s="3"/>
      <c r="E929" s="3"/>
      <c r="F929" s="3"/>
      <c r="G929" s="3"/>
      <c r="H929" s="3"/>
      <c r="I929" s="97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3"/>
      <c r="B930" s="3"/>
      <c r="C930" s="3"/>
      <c r="D930" s="3"/>
      <c r="E930" s="3"/>
      <c r="F930" s="3"/>
      <c r="G930" s="3"/>
      <c r="H930" s="3"/>
      <c r="I930" s="97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3"/>
      <c r="B931" s="3"/>
      <c r="C931" s="3"/>
      <c r="D931" s="3"/>
      <c r="E931" s="3"/>
      <c r="F931" s="3"/>
      <c r="G931" s="3"/>
      <c r="H931" s="3"/>
      <c r="I931" s="97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3"/>
      <c r="B932" s="3"/>
      <c r="C932" s="3"/>
      <c r="D932" s="3"/>
      <c r="E932" s="3"/>
      <c r="F932" s="3"/>
      <c r="G932" s="3"/>
      <c r="H932" s="3"/>
      <c r="I932" s="97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3"/>
      <c r="B933" s="3"/>
      <c r="C933" s="3"/>
      <c r="D933" s="3"/>
      <c r="E933" s="3"/>
      <c r="F933" s="3"/>
      <c r="G933" s="3"/>
      <c r="H933" s="3"/>
      <c r="I933" s="97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3"/>
      <c r="B934" s="3"/>
      <c r="C934" s="3"/>
      <c r="D934" s="3"/>
      <c r="E934" s="3"/>
      <c r="F934" s="3"/>
      <c r="G934" s="3"/>
      <c r="H934" s="3"/>
      <c r="I934" s="97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3"/>
      <c r="B935" s="3"/>
      <c r="C935" s="3"/>
      <c r="D935" s="3"/>
      <c r="E935" s="3"/>
      <c r="F935" s="3"/>
      <c r="G935" s="3"/>
      <c r="H935" s="3"/>
      <c r="I935" s="97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3"/>
      <c r="B936" s="3"/>
      <c r="C936" s="3"/>
      <c r="D936" s="3"/>
      <c r="E936" s="3"/>
      <c r="F936" s="3"/>
      <c r="G936" s="3"/>
      <c r="H936" s="3"/>
      <c r="I936" s="97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3"/>
      <c r="B937" s="3"/>
      <c r="C937" s="3"/>
      <c r="D937" s="3"/>
      <c r="E937" s="3"/>
      <c r="F937" s="3"/>
      <c r="G937" s="3"/>
      <c r="H937" s="3"/>
      <c r="I937" s="97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3"/>
      <c r="B938" s="3"/>
      <c r="C938" s="3"/>
      <c r="D938" s="3"/>
      <c r="E938" s="3"/>
      <c r="F938" s="3"/>
      <c r="G938" s="3"/>
      <c r="H938" s="3"/>
      <c r="I938" s="97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3"/>
      <c r="B939" s="3"/>
      <c r="C939" s="3"/>
      <c r="D939" s="3"/>
      <c r="E939" s="3"/>
      <c r="F939" s="3"/>
      <c r="G939" s="3"/>
      <c r="H939" s="3"/>
      <c r="I939" s="97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3"/>
      <c r="B940" s="3"/>
      <c r="C940" s="3"/>
      <c r="D940" s="3"/>
      <c r="E940" s="3"/>
      <c r="F940" s="3"/>
      <c r="G940" s="3"/>
      <c r="H940" s="3"/>
      <c r="I940" s="97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3"/>
      <c r="B941" s="3"/>
      <c r="C941" s="3"/>
      <c r="D941" s="3"/>
      <c r="E941" s="3"/>
      <c r="F941" s="3"/>
      <c r="G941" s="3"/>
      <c r="H941" s="3"/>
      <c r="I941" s="97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3"/>
      <c r="B942" s="3"/>
      <c r="C942" s="3"/>
      <c r="D942" s="3"/>
      <c r="E942" s="3"/>
      <c r="F942" s="3"/>
      <c r="G942" s="3"/>
      <c r="H942" s="3"/>
      <c r="I942" s="97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3"/>
      <c r="B943" s="3"/>
      <c r="C943" s="3"/>
      <c r="D943" s="3"/>
      <c r="E943" s="3"/>
      <c r="F943" s="3"/>
      <c r="G943" s="3"/>
      <c r="H943" s="3"/>
      <c r="I943" s="97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3"/>
      <c r="B944" s="3"/>
      <c r="C944" s="3"/>
      <c r="D944" s="3"/>
      <c r="E944" s="3"/>
      <c r="F944" s="3"/>
      <c r="G944" s="3"/>
      <c r="H944" s="3"/>
      <c r="I944" s="97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3"/>
      <c r="B945" s="3"/>
      <c r="C945" s="3"/>
      <c r="D945" s="3"/>
      <c r="E945" s="3"/>
      <c r="F945" s="3"/>
      <c r="G945" s="3"/>
      <c r="H945" s="3"/>
      <c r="I945" s="97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3"/>
      <c r="B946" s="3"/>
      <c r="C946" s="3"/>
      <c r="D946" s="3"/>
      <c r="E946" s="3"/>
      <c r="F946" s="3"/>
      <c r="G946" s="3"/>
      <c r="H946" s="3"/>
      <c r="I946" s="97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3"/>
      <c r="B947" s="3"/>
      <c r="C947" s="3"/>
      <c r="D947" s="3"/>
      <c r="E947" s="3"/>
      <c r="F947" s="3"/>
      <c r="G947" s="3"/>
      <c r="H947" s="3"/>
      <c r="I947" s="97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3"/>
      <c r="B948" s="3"/>
      <c r="C948" s="3"/>
      <c r="D948" s="3"/>
      <c r="E948" s="3"/>
      <c r="F948" s="3"/>
      <c r="G948" s="3"/>
      <c r="H948" s="3"/>
      <c r="I948" s="97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3"/>
      <c r="B949" s="3"/>
      <c r="C949" s="3"/>
      <c r="D949" s="3"/>
      <c r="E949" s="3"/>
      <c r="F949" s="3"/>
      <c r="G949" s="3"/>
      <c r="H949" s="3"/>
      <c r="I949" s="97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3"/>
      <c r="B950" s="3"/>
      <c r="C950" s="3"/>
      <c r="D950" s="3"/>
      <c r="E950" s="3"/>
      <c r="F950" s="3"/>
      <c r="G950" s="3"/>
      <c r="H950" s="3"/>
      <c r="I950" s="97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3"/>
      <c r="B951" s="3"/>
      <c r="C951" s="3"/>
      <c r="D951" s="3"/>
      <c r="E951" s="3"/>
      <c r="F951" s="3"/>
      <c r="G951" s="3"/>
      <c r="H951" s="3"/>
      <c r="I951" s="97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3"/>
      <c r="B952" s="3"/>
      <c r="C952" s="3"/>
      <c r="D952" s="3"/>
      <c r="E952" s="3"/>
      <c r="F952" s="3"/>
      <c r="G952" s="3"/>
      <c r="H952" s="3"/>
      <c r="I952" s="97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3"/>
      <c r="B953" s="3"/>
      <c r="C953" s="3"/>
      <c r="D953" s="3"/>
      <c r="E953" s="3"/>
      <c r="F953" s="3"/>
      <c r="G953" s="3"/>
      <c r="H953" s="3"/>
      <c r="I953" s="97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3"/>
      <c r="B954" s="3"/>
      <c r="C954" s="3"/>
      <c r="D954" s="3"/>
      <c r="E954" s="3"/>
      <c r="F954" s="3"/>
      <c r="G954" s="3"/>
      <c r="H954" s="3"/>
      <c r="I954" s="97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3"/>
      <c r="B955" s="3"/>
      <c r="C955" s="3"/>
      <c r="D955" s="3"/>
      <c r="E955" s="3"/>
      <c r="F955" s="3"/>
      <c r="G955" s="3"/>
      <c r="H955" s="3"/>
      <c r="I955" s="97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3"/>
      <c r="B956" s="3"/>
      <c r="C956" s="3"/>
      <c r="D956" s="3"/>
      <c r="E956" s="3"/>
      <c r="F956" s="3"/>
      <c r="G956" s="3"/>
      <c r="H956" s="3"/>
      <c r="I956" s="97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3"/>
      <c r="B957" s="3"/>
      <c r="C957" s="3"/>
      <c r="D957" s="3"/>
      <c r="E957" s="3"/>
      <c r="F957" s="3"/>
      <c r="G957" s="3"/>
      <c r="H957" s="3"/>
      <c r="I957" s="97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3"/>
      <c r="B958" s="3"/>
      <c r="C958" s="3"/>
      <c r="D958" s="3"/>
      <c r="E958" s="3"/>
      <c r="F958" s="3"/>
      <c r="G958" s="3"/>
      <c r="H958" s="3"/>
      <c r="I958" s="97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3"/>
      <c r="B959" s="3"/>
      <c r="C959" s="3"/>
      <c r="D959" s="3"/>
      <c r="E959" s="3"/>
      <c r="F959" s="3"/>
      <c r="G959" s="3"/>
      <c r="H959" s="3"/>
      <c r="I959" s="97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3"/>
      <c r="B960" s="3"/>
      <c r="C960" s="3"/>
      <c r="D960" s="3"/>
      <c r="E960" s="3"/>
      <c r="F960" s="3"/>
      <c r="G960" s="3"/>
      <c r="H960" s="3"/>
      <c r="I960" s="97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3"/>
      <c r="B961" s="3"/>
      <c r="C961" s="3"/>
      <c r="D961" s="3"/>
      <c r="E961" s="3"/>
      <c r="F961" s="3"/>
      <c r="G961" s="3"/>
      <c r="H961" s="3"/>
      <c r="I961" s="97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3"/>
      <c r="B962" s="3"/>
      <c r="C962" s="3"/>
      <c r="D962" s="3"/>
      <c r="E962" s="3"/>
      <c r="F962" s="3"/>
      <c r="G962" s="3"/>
      <c r="H962" s="3"/>
      <c r="I962" s="97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3"/>
      <c r="B963" s="3"/>
      <c r="C963" s="3"/>
      <c r="D963" s="3"/>
      <c r="E963" s="3"/>
      <c r="F963" s="3"/>
      <c r="G963" s="3"/>
      <c r="H963" s="3"/>
      <c r="I963" s="97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3"/>
      <c r="B964" s="3"/>
      <c r="C964" s="3"/>
      <c r="D964" s="3"/>
      <c r="E964" s="3"/>
      <c r="F964" s="3"/>
      <c r="G964" s="3"/>
      <c r="H964" s="3"/>
      <c r="I964" s="97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3"/>
      <c r="B965" s="3"/>
      <c r="C965" s="3"/>
      <c r="D965" s="3"/>
      <c r="E965" s="3"/>
      <c r="F965" s="3"/>
      <c r="G965" s="3"/>
      <c r="H965" s="3"/>
      <c r="I965" s="97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3"/>
      <c r="B966" s="3"/>
      <c r="C966" s="3"/>
      <c r="D966" s="3"/>
      <c r="E966" s="3"/>
      <c r="F966" s="3"/>
      <c r="G966" s="3"/>
      <c r="H966" s="3"/>
      <c r="I966" s="97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3"/>
      <c r="B967" s="3"/>
      <c r="C967" s="3"/>
      <c r="D967" s="3"/>
      <c r="E967" s="3"/>
      <c r="F967" s="3"/>
      <c r="G967" s="3"/>
      <c r="H967" s="3"/>
      <c r="I967" s="97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3"/>
      <c r="B968" s="3"/>
      <c r="C968" s="3"/>
      <c r="D968" s="3"/>
      <c r="E968" s="3"/>
      <c r="F968" s="3"/>
      <c r="G968" s="3"/>
      <c r="H968" s="3"/>
      <c r="I968" s="97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3"/>
      <c r="B969" s="3"/>
      <c r="C969" s="3"/>
      <c r="D969" s="3"/>
      <c r="E969" s="3"/>
      <c r="F969" s="3"/>
      <c r="G969" s="3"/>
      <c r="H969" s="3"/>
      <c r="I969" s="97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3"/>
      <c r="B970" s="3"/>
      <c r="C970" s="3"/>
      <c r="D970" s="3"/>
      <c r="E970" s="3"/>
      <c r="F970" s="3"/>
      <c r="G970" s="3"/>
      <c r="H970" s="3"/>
      <c r="I970" s="97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3"/>
      <c r="B971" s="3"/>
      <c r="C971" s="3"/>
      <c r="D971" s="3"/>
      <c r="E971" s="3"/>
      <c r="F971" s="3"/>
      <c r="G971" s="3"/>
      <c r="H971" s="3"/>
      <c r="I971" s="97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3"/>
      <c r="B972" s="3"/>
      <c r="C972" s="3"/>
      <c r="D972" s="3"/>
      <c r="E972" s="3"/>
      <c r="F972" s="3"/>
      <c r="G972" s="3"/>
      <c r="H972" s="3"/>
      <c r="I972" s="97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3"/>
      <c r="B973" s="3"/>
      <c r="C973" s="3"/>
      <c r="D973" s="3"/>
      <c r="E973" s="3"/>
      <c r="F973" s="3"/>
      <c r="G973" s="3"/>
      <c r="H973" s="3"/>
      <c r="I973" s="97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3"/>
      <c r="B974" s="3"/>
      <c r="C974" s="3"/>
      <c r="D974" s="3"/>
      <c r="E974" s="3"/>
      <c r="F974" s="3"/>
      <c r="G974" s="3"/>
      <c r="H974" s="3"/>
      <c r="I974" s="97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3"/>
      <c r="B975" s="3"/>
      <c r="C975" s="3"/>
      <c r="D975" s="3"/>
      <c r="E975" s="3"/>
      <c r="F975" s="3"/>
      <c r="G975" s="3"/>
      <c r="H975" s="3"/>
      <c r="I975" s="97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3"/>
      <c r="B976" s="3"/>
      <c r="C976" s="3"/>
      <c r="D976" s="3"/>
      <c r="E976" s="3"/>
      <c r="F976" s="3"/>
      <c r="G976" s="3"/>
      <c r="H976" s="3"/>
      <c r="I976" s="97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3"/>
      <c r="B977" s="3"/>
      <c r="C977" s="3"/>
      <c r="D977" s="3"/>
      <c r="E977" s="3"/>
      <c r="F977" s="3"/>
      <c r="G977" s="3"/>
      <c r="H977" s="3"/>
      <c r="I977" s="97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3"/>
      <c r="B978" s="3"/>
      <c r="C978" s="3"/>
      <c r="D978" s="3"/>
      <c r="E978" s="3"/>
      <c r="F978" s="3"/>
      <c r="G978" s="3"/>
      <c r="H978" s="3"/>
      <c r="I978" s="97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I979" s="97"/>
    </row>
    <row r="980">
      <c r="I980" s="97"/>
    </row>
    <row r="981">
      <c r="I981" s="97"/>
    </row>
    <row r="982">
      <c r="I982" s="97"/>
    </row>
    <row r="983">
      <c r="I983" s="97"/>
    </row>
    <row r="984">
      <c r="I984" s="97"/>
    </row>
    <row r="985">
      <c r="I985" s="97"/>
    </row>
    <row r="986">
      <c r="I986" s="97"/>
    </row>
    <row r="987">
      <c r="I987" s="97"/>
    </row>
    <row r="988">
      <c r="I988" s="97"/>
    </row>
    <row r="989">
      <c r="I989" s="97"/>
    </row>
    <row r="990">
      <c r="I990" s="97"/>
    </row>
    <row r="991">
      <c r="I991" s="97"/>
    </row>
    <row r="992">
      <c r="I992" s="97"/>
    </row>
    <row r="993">
      <c r="I993" s="97"/>
    </row>
    <row r="994">
      <c r="I994" s="97"/>
    </row>
    <row r="995">
      <c r="I995" s="97"/>
    </row>
    <row r="996">
      <c r="I996" s="97"/>
    </row>
    <row r="997">
      <c r="I997" s="97"/>
    </row>
    <row r="998">
      <c r="I998" s="97"/>
    </row>
    <row r="999">
      <c r="I999" s="97"/>
    </row>
    <row r="1000">
      <c r="I1000" s="97"/>
    </row>
    <row r="1001">
      <c r="I1001" s="97"/>
    </row>
    <row r="1002">
      <c r="I1002" s="97"/>
    </row>
    <row r="1003">
      <c r="I1003" s="97"/>
    </row>
    <row r="1004">
      <c r="I1004" s="97"/>
    </row>
    <row r="1005">
      <c r="I1005" s="97"/>
    </row>
    <row r="1006">
      <c r="I1006" s="97"/>
    </row>
    <row r="1007">
      <c r="I1007" s="97"/>
    </row>
    <row r="1008">
      <c r="I1008" s="97"/>
    </row>
    <row r="1009">
      <c r="I1009" s="97"/>
    </row>
    <row r="1010">
      <c r="I1010" s="97"/>
    </row>
    <row r="1011">
      <c r="I1011" s="97"/>
    </row>
    <row r="1012">
      <c r="I1012" s="97"/>
    </row>
    <row r="1013">
      <c r="I1013" s="97"/>
    </row>
    <row r="1014">
      <c r="I1014" s="97"/>
    </row>
    <row r="1015">
      <c r="I1015" s="97"/>
    </row>
    <row r="1016">
      <c r="I1016" s="97"/>
    </row>
    <row r="1017">
      <c r="I1017" s="97"/>
    </row>
    <row r="1018">
      <c r="I1018" s="97"/>
    </row>
    <row r="1019">
      <c r="I1019" s="97"/>
    </row>
    <row r="1020">
      <c r="I1020" s="97"/>
    </row>
    <row r="1021">
      <c r="I1021" s="97"/>
    </row>
    <row r="1022">
      <c r="I1022" s="97"/>
    </row>
    <row r="1023">
      <c r="I1023" s="97"/>
    </row>
    <row r="1024">
      <c r="I1024" s="97"/>
    </row>
    <row r="1025">
      <c r="I1025" s="97"/>
    </row>
    <row r="1026">
      <c r="I1026" s="97"/>
    </row>
    <row r="1027">
      <c r="I1027" s="97"/>
    </row>
    <row r="1028">
      <c r="I1028" s="97"/>
    </row>
    <row r="1029">
      <c r="I1029" s="97"/>
    </row>
    <row r="1030">
      <c r="I1030" s="97"/>
    </row>
    <row r="1031">
      <c r="I1031" s="97"/>
    </row>
    <row r="1032">
      <c r="I1032" s="97"/>
    </row>
    <row r="1033">
      <c r="I1033" s="97"/>
    </row>
    <row r="1034">
      <c r="I1034" s="97"/>
    </row>
    <row r="1035">
      <c r="I1035" s="97"/>
    </row>
    <row r="1036">
      <c r="I1036" s="97"/>
    </row>
    <row r="1037">
      <c r="I1037" s="97"/>
    </row>
    <row r="1038">
      <c r="I1038" s="97"/>
    </row>
    <row r="1039">
      <c r="I1039" s="97"/>
    </row>
    <row r="1040">
      <c r="I1040" s="97"/>
    </row>
    <row r="1041">
      <c r="I1041" s="97"/>
    </row>
    <row r="1042">
      <c r="I1042" s="97"/>
    </row>
    <row r="1043">
      <c r="I1043" s="97"/>
    </row>
    <row r="1044">
      <c r="I1044" s="97"/>
    </row>
    <row r="1045">
      <c r="I1045" s="97"/>
    </row>
    <row r="1046">
      <c r="I1046" s="97"/>
    </row>
    <row r="1047">
      <c r="I1047" s="97"/>
    </row>
    <row r="1048">
      <c r="I1048" s="97"/>
    </row>
    <row r="1049">
      <c r="I1049" s="97"/>
    </row>
  </sheetData>
  <dataValidations>
    <dataValidation type="list" allowBlank="1" sqref="E2:E544">
      <formula1>#REF!</formula1>
    </dataValidation>
    <dataValidation type="list" allowBlank="1" sqref="I3:I576">
      <formula1>SocialMedias!$A$2:$A1049</formula1>
    </dataValidation>
    <dataValidation type="list" allowBlank="1" sqref="F2:G544">
      <formula1>#REF!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0"/>
    <hyperlink r:id="rId88" ref="B91"/>
    <hyperlink r:id="rId89" ref="B92"/>
    <hyperlink r:id="rId90" ref="B93"/>
    <hyperlink r:id="rId91" ref="B94"/>
    <hyperlink r:id="rId92" ref="B95"/>
    <hyperlink r:id="rId93" ref="B96"/>
    <hyperlink r:id="rId94" ref="B97"/>
    <hyperlink r:id="rId95" ref="B98"/>
    <hyperlink r:id="rId96" ref="B99"/>
    <hyperlink r:id="rId97" ref="B100"/>
    <hyperlink r:id="rId98" ref="B101"/>
    <hyperlink r:id="rId99" ref="B102"/>
    <hyperlink r:id="rId100" ref="B104"/>
    <hyperlink r:id="rId101" ref="B105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5"/>
    <hyperlink r:id="rId112" ref="B116"/>
    <hyperlink r:id="rId113" ref="B117"/>
    <hyperlink r:id="rId114" ref="B118"/>
    <hyperlink r:id="rId115" ref="B119"/>
    <hyperlink r:id="rId116" ref="B120"/>
    <hyperlink r:id="rId117" ref="B121"/>
    <hyperlink r:id="rId118" ref="B122"/>
    <hyperlink r:id="rId119" ref="B123"/>
    <hyperlink r:id="rId120" ref="B124"/>
    <hyperlink r:id="rId121" ref="B125"/>
    <hyperlink r:id="rId122" ref="B126"/>
    <hyperlink r:id="rId123" ref="B127"/>
    <hyperlink r:id="rId124" ref="B128"/>
    <hyperlink r:id="rId125" ref="B129"/>
    <hyperlink r:id="rId126" ref="B130"/>
    <hyperlink r:id="rId127" ref="B131"/>
    <hyperlink r:id="rId128" ref="B132"/>
    <hyperlink r:id="rId129" ref="B133"/>
    <hyperlink r:id="rId130" ref="B134"/>
    <hyperlink r:id="rId131" ref="B135"/>
    <hyperlink r:id="rId132" ref="B136"/>
    <hyperlink r:id="rId133" ref="B137"/>
    <hyperlink r:id="rId134" ref="B138"/>
    <hyperlink r:id="rId135" ref="B139"/>
    <hyperlink r:id="rId136" ref="B140"/>
    <hyperlink r:id="rId137" ref="B141"/>
    <hyperlink r:id="rId138" ref="B142"/>
    <hyperlink r:id="rId139" ref="B143"/>
    <hyperlink r:id="rId140" ref="B144"/>
    <hyperlink r:id="rId141" ref="B145"/>
    <hyperlink r:id="rId142" ref="B146"/>
    <hyperlink r:id="rId143" ref="B147"/>
    <hyperlink r:id="rId144" ref="B148"/>
    <hyperlink r:id="rId145" ref="B149"/>
    <hyperlink r:id="rId146" ref="B150"/>
    <hyperlink r:id="rId147" ref="B151"/>
    <hyperlink r:id="rId148" ref="B152"/>
    <hyperlink r:id="rId149" ref="B153"/>
    <hyperlink r:id="rId150" ref="B154"/>
    <hyperlink r:id="rId151" ref="B155"/>
    <hyperlink r:id="rId152" ref="B156"/>
    <hyperlink r:id="rId153" ref="B158"/>
    <hyperlink r:id="rId154" ref="B159"/>
    <hyperlink r:id="rId155" ref="B160"/>
    <hyperlink r:id="rId156" ref="B161"/>
    <hyperlink r:id="rId157" ref="B162"/>
    <hyperlink r:id="rId158" ref="B163"/>
    <hyperlink r:id="rId159" ref="B164"/>
    <hyperlink r:id="rId160" ref="B165"/>
    <hyperlink r:id="rId161" ref="B166"/>
    <hyperlink r:id="rId162" ref="B167"/>
    <hyperlink r:id="rId163" ref="B169"/>
    <hyperlink r:id="rId164" ref="B170"/>
    <hyperlink r:id="rId165" ref="B171"/>
    <hyperlink r:id="rId166" ref="B172"/>
    <hyperlink r:id="rId167" ref="B173"/>
    <hyperlink r:id="rId168" ref="B174"/>
    <hyperlink r:id="rId169" ref="B175"/>
    <hyperlink r:id="rId170" ref="B176"/>
    <hyperlink r:id="rId171" ref="B177"/>
    <hyperlink r:id="rId172" ref="B178"/>
    <hyperlink r:id="rId173" ref="B180"/>
    <hyperlink r:id="rId174" ref="B181"/>
    <hyperlink r:id="rId175" ref="B182"/>
    <hyperlink r:id="rId176" ref="B183"/>
    <hyperlink r:id="rId177" ref="B184"/>
    <hyperlink r:id="rId178" ref="B185"/>
    <hyperlink r:id="rId179" ref="B186"/>
    <hyperlink r:id="rId180" ref="B187"/>
    <hyperlink r:id="rId181" ref="B188"/>
    <hyperlink r:id="rId182" ref="B189"/>
    <hyperlink r:id="rId183" ref="B190"/>
    <hyperlink r:id="rId184" ref="B191"/>
    <hyperlink r:id="rId185" ref="B192"/>
    <hyperlink r:id="rId186" ref="B193"/>
    <hyperlink r:id="rId187" ref="B194"/>
    <hyperlink r:id="rId188" ref="B195"/>
    <hyperlink r:id="rId189" ref="B196"/>
    <hyperlink r:id="rId190" ref="B197"/>
    <hyperlink r:id="rId191" ref="B198"/>
    <hyperlink r:id="rId192" ref="B199"/>
    <hyperlink r:id="rId193" ref="B200"/>
    <hyperlink r:id="rId194" ref="B201"/>
    <hyperlink r:id="rId195" ref="B202"/>
    <hyperlink r:id="rId196" ref="B203"/>
    <hyperlink r:id="rId197" ref="B204"/>
    <hyperlink r:id="rId198" ref="B205"/>
    <hyperlink r:id="rId199" ref="B206"/>
    <hyperlink r:id="rId200" ref="B207"/>
    <hyperlink r:id="rId201" ref="B208"/>
    <hyperlink r:id="rId202" ref="B209"/>
    <hyperlink r:id="rId203" ref="B210"/>
    <hyperlink r:id="rId204" ref="B211"/>
    <hyperlink r:id="rId205" ref="B212"/>
    <hyperlink r:id="rId206" ref="B213"/>
    <hyperlink r:id="rId207" ref="B214"/>
    <hyperlink r:id="rId208" ref="B215"/>
    <hyperlink r:id="rId209" ref="B216"/>
    <hyperlink r:id="rId210" ref="B217"/>
    <hyperlink r:id="rId211" ref="B218"/>
    <hyperlink r:id="rId212" ref="B219"/>
    <hyperlink r:id="rId213" ref="B220"/>
    <hyperlink r:id="rId214" ref="B222"/>
    <hyperlink r:id="rId215" ref="B223"/>
    <hyperlink r:id="rId216" ref="B224"/>
    <hyperlink r:id="rId217" ref="B225"/>
    <hyperlink r:id="rId218" ref="B226"/>
    <hyperlink r:id="rId219" ref="B227"/>
    <hyperlink r:id="rId220" ref="B228"/>
    <hyperlink r:id="rId221" ref="B229"/>
    <hyperlink r:id="rId222" ref="B230"/>
    <hyperlink r:id="rId223" ref="B231"/>
    <hyperlink r:id="rId224" ref="B232"/>
    <hyperlink r:id="rId225" ref="B233"/>
    <hyperlink r:id="rId226" ref="B234"/>
    <hyperlink r:id="rId227" ref="B235"/>
    <hyperlink r:id="rId228" ref="B236"/>
    <hyperlink r:id="rId229" ref="B237"/>
    <hyperlink r:id="rId230" ref="B238"/>
    <hyperlink r:id="rId231" ref="B239"/>
    <hyperlink r:id="rId232" ref="B240"/>
    <hyperlink r:id="rId233" ref="B241"/>
    <hyperlink r:id="rId234" ref="B242"/>
    <hyperlink r:id="rId235" ref="B243"/>
    <hyperlink r:id="rId236" ref="B244"/>
    <hyperlink r:id="rId237" ref="B245"/>
    <hyperlink r:id="rId238" ref="B246"/>
    <hyperlink r:id="rId239" ref="B247"/>
    <hyperlink r:id="rId240" ref="B248"/>
    <hyperlink r:id="rId241" ref="B249"/>
    <hyperlink r:id="rId242" ref="B250"/>
    <hyperlink r:id="rId243" ref="B251"/>
    <hyperlink r:id="rId244" ref="B252"/>
    <hyperlink r:id="rId245" ref="B253"/>
    <hyperlink r:id="rId246" ref="B254"/>
    <hyperlink r:id="rId247" ref="B255"/>
    <hyperlink r:id="rId248" ref="B256"/>
    <hyperlink r:id="rId249" ref="B257"/>
    <hyperlink r:id="rId250" ref="B258"/>
    <hyperlink r:id="rId251" ref="B259"/>
    <hyperlink r:id="rId252" ref="B260"/>
    <hyperlink r:id="rId253" ref="B261"/>
    <hyperlink r:id="rId254" ref="B262"/>
    <hyperlink r:id="rId255" ref="B263"/>
    <hyperlink r:id="rId256" ref="B264"/>
    <hyperlink r:id="rId257" ref="B265"/>
    <hyperlink r:id="rId258" ref="B266"/>
    <hyperlink r:id="rId259" ref="B267"/>
    <hyperlink r:id="rId260" ref="B268"/>
    <hyperlink r:id="rId261" ref="B269"/>
    <hyperlink r:id="rId262" ref="B270"/>
    <hyperlink r:id="rId263" ref="B271"/>
    <hyperlink r:id="rId264" ref="B272"/>
    <hyperlink r:id="rId265" ref="B273"/>
    <hyperlink r:id="rId266" ref="B274"/>
    <hyperlink r:id="rId267" ref="B275"/>
    <hyperlink r:id="rId268" ref="B276"/>
    <hyperlink r:id="rId269" ref="B277"/>
    <hyperlink r:id="rId270" ref="B278"/>
    <hyperlink r:id="rId271" ref="B279"/>
    <hyperlink r:id="rId272" ref="B280"/>
    <hyperlink r:id="rId273" ref="B281"/>
    <hyperlink r:id="rId274" ref="B282"/>
    <hyperlink r:id="rId275" ref="B283"/>
    <hyperlink r:id="rId276" ref="B284"/>
    <hyperlink r:id="rId277" ref="B285"/>
    <hyperlink r:id="rId278" ref="B286"/>
    <hyperlink r:id="rId279" ref="B287"/>
    <hyperlink r:id="rId280" ref="B289"/>
    <hyperlink r:id="rId281" ref="B290"/>
    <hyperlink r:id="rId282" ref="B291"/>
    <hyperlink r:id="rId283" ref="B292"/>
    <hyperlink r:id="rId284" ref="B293"/>
    <hyperlink r:id="rId285" ref="B294"/>
    <hyperlink r:id="rId286" ref="B295"/>
    <hyperlink r:id="rId287" ref="B296"/>
    <hyperlink r:id="rId288" ref="B297"/>
    <hyperlink r:id="rId289" ref="B299"/>
    <hyperlink r:id="rId290" ref="B300"/>
    <hyperlink r:id="rId291" ref="B301"/>
    <hyperlink r:id="rId292" ref="B302"/>
    <hyperlink r:id="rId293" ref="B303"/>
    <hyperlink r:id="rId294" ref="B304"/>
    <hyperlink r:id="rId295" ref="B305"/>
    <hyperlink r:id="rId296" ref="B306"/>
    <hyperlink r:id="rId297" ref="B307"/>
    <hyperlink r:id="rId298" ref="B308"/>
    <hyperlink r:id="rId299" ref="B309"/>
    <hyperlink r:id="rId300" ref="B310"/>
    <hyperlink r:id="rId301" ref="B311"/>
    <hyperlink r:id="rId302" ref="B312"/>
    <hyperlink r:id="rId303" ref="B313"/>
    <hyperlink r:id="rId304" ref="B314"/>
    <hyperlink r:id="rId305" ref="B315"/>
    <hyperlink r:id="rId306" ref="B316"/>
    <hyperlink r:id="rId307" ref="B317"/>
    <hyperlink r:id="rId308" ref="B318"/>
    <hyperlink r:id="rId309" ref="B319"/>
    <hyperlink r:id="rId310" ref="B320"/>
    <hyperlink r:id="rId311" ref="B321"/>
    <hyperlink r:id="rId312" ref="B322"/>
    <hyperlink r:id="rId313" ref="B324"/>
    <hyperlink r:id="rId314" ref="B325"/>
    <hyperlink r:id="rId315" ref="B326"/>
    <hyperlink r:id="rId316" ref="B327"/>
    <hyperlink r:id="rId317" ref="B328"/>
    <hyperlink r:id="rId318" ref="B329"/>
    <hyperlink r:id="rId319" ref="B330"/>
    <hyperlink r:id="rId320" ref="B331"/>
    <hyperlink r:id="rId321" ref="B332"/>
    <hyperlink r:id="rId322" ref="B333"/>
    <hyperlink r:id="rId323" ref="B334"/>
    <hyperlink r:id="rId324" ref="B335"/>
    <hyperlink r:id="rId325" ref="B336"/>
    <hyperlink r:id="rId326" ref="B337"/>
    <hyperlink r:id="rId327" ref="B338"/>
    <hyperlink r:id="rId328" ref="B339"/>
    <hyperlink r:id="rId329" ref="B340"/>
    <hyperlink r:id="rId330" ref="B341"/>
    <hyperlink r:id="rId331" ref="B342"/>
    <hyperlink r:id="rId332" ref="B343"/>
    <hyperlink r:id="rId333" ref="B344"/>
    <hyperlink r:id="rId334" ref="B345"/>
    <hyperlink r:id="rId335" ref="B348"/>
    <hyperlink r:id="rId336" ref="B350"/>
    <hyperlink r:id="rId337" ref="B351"/>
    <hyperlink r:id="rId338" ref="B353"/>
    <hyperlink r:id="rId339" ref="B354"/>
    <hyperlink r:id="rId340" ref="B355"/>
    <hyperlink r:id="rId341" ref="B356"/>
    <hyperlink r:id="rId342" ref="B357"/>
    <hyperlink r:id="rId343" ref="B358"/>
    <hyperlink r:id="rId344" ref="B359"/>
    <hyperlink r:id="rId345" ref="B360"/>
    <hyperlink r:id="rId346" ref="B361"/>
    <hyperlink r:id="rId347" ref="B362"/>
    <hyperlink r:id="rId348" ref="B363"/>
    <hyperlink r:id="rId349" ref="B364"/>
    <hyperlink r:id="rId350" ref="B365"/>
    <hyperlink r:id="rId351" ref="B366"/>
    <hyperlink r:id="rId352" ref="B367"/>
    <hyperlink r:id="rId353" ref="B368"/>
    <hyperlink r:id="rId354" ref="B369"/>
    <hyperlink r:id="rId355" ref="B370"/>
    <hyperlink r:id="rId356" ref="B371"/>
    <hyperlink r:id="rId357" ref="B372"/>
    <hyperlink r:id="rId358" ref="B373"/>
    <hyperlink r:id="rId359" ref="B374"/>
    <hyperlink r:id="rId360" ref="B375"/>
    <hyperlink r:id="rId361" ref="B376"/>
    <hyperlink r:id="rId362" ref="B377"/>
    <hyperlink r:id="rId363" ref="B378"/>
    <hyperlink r:id="rId364" ref="B379"/>
    <hyperlink r:id="rId365" ref="B380"/>
    <hyperlink r:id="rId366" ref="B381"/>
    <hyperlink r:id="rId367" ref="B382"/>
    <hyperlink r:id="rId368" ref="B383"/>
    <hyperlink r:id="rId369" ref="B384"/>
    <hyperlink r:id="rId370" ref="B385"/>
    <hyperlink r:id="rId371" ref="B386"/>
    <hyperlink r:id="rId372" ref="B387"/>
    <hyperlink r:id="rId373" ref="B388"/>
    <hyperlink r:id="rId374" ref="B389"/>
    <hyperlink r:id="rId375" ref="B390"/>
    <hyperlink r:id="rId376" ref="B391"/>
    <hyperlink r:id="rId377" ref="B392"/>
    <hyperlink r:id="rId378" ref="B393"/>
    <hyperlink r:id="rId379" ref="B394"/>
    <hyperlink r:id="rId380" ref="B395"/>
    <hyperlink r:id="rId381" ref="B396"/>
    <hyperlink r:id="rId382" ref="B398"/>
    <hyperlink r:id="rId383" ref="B399"/>
    <hyperlink r:id="rId384" ref="B400"/>
    <hyperlink r:id="rId385" ref="B402"/>
    <hyperlink r:id="rId386" ref="B403"/>
    <hyperlink r:id="rId387" ref="B406"/>
    <hyperlink r:id="rId388" ref="B407"/>
    <hyperlink r:id="rId389" ref="B408"/>
    <hyperlink r:id="rId390" ref="B409"/>
    <hyperlink r:id="rId391" ref="B410"/>
    <hyperlink r:id="rId392" ref="B411"/>
    <hyperlink r:id="rId393" ref="B412"/>
    <hyperlink r:id="rId394" ref="B413"/>
    <hyperlink r:id="rId395" ref="B414"/>
    <hyperlink r:id="rId396" ref="B415"/>
    <hyperlink r:id="rId397" ref="B416"/>
    <hyperlink r:id="rId398" ref="B417"/>
    <hyperlink r:id="rId399" ref="B418"/>
    <hyperlink r:id="rId400" ref="B419"/>
    <hyperlink r:id="rId401" ref="B420"/>
    <hyperlink r:id="rId402" ref="B421"/>
    <hyperlink r:id="rId403" ref="B422"/>
    <hyperlink r:id="rId404" ref="B423"/>
    <hyperlink r:id="rId405" ref="B426"/>
    <hyperlink r:id="rId406" ref="B427"/>
    <hyperlink r:id="rId407" ref="B428"/>
    <hyperlink r:id="rId408" ref="B429"/>
    <hyperlink r:id="rId409" ref="B430"/>
    <hyperlink r:id="rId410" ref="B432"/>
    <hyperlink r:id="rId411" ref="B433"/>
    <hyperlink r:id="rId412" ref="B434"/>
    <hyperlink r:id="rId413" ref="B435"/>
    <hyperlink r:id="rId414" ref="B436"/>
    <hyperlink r:id="rId415" ref="B437"/>
    <hyperlink r:id="rId416" ref="B438"/>
    <hyperlink r:id="rId417" ref="B439"/>
    <hyperlink r:id="rId418" ref="B440"/>
    <hyperlink r:id="rId419" ref="B441"/>
    <hyperlink r:id="rId420" ref="B442"/>
    <hyperlink r:id="rId421" ref="B443"/>
    <hyperlink r:id="rId422" ref="B444"/>
    <hyperlink r:id="rId423" ref="B445"/>
    <hyperlink r:id="rId424" ref="B446"/>
    <hyperlink r:id="rId425" ref="B447"/>
    <hyperlink r:id="rId426" ref="B448"/>
    <hyperlink r:id="rId427" ref="B449"/>
    <hyperlink r:id="rId428" ref="B450"/>
    <hyperlink r:id="rId429" ref="B451"/>
    <hyperlink r:id="rId430" ref="B452"/>
    <hyperlink r:id="rId431" ref="B453"/>
    <hyperlink r:id="rId432" ref="B454"/>
    <hyperlink r:id="rId433" ref="B455"/>
    <hyperlink r:id="rId434" ref="B456"/>
    <hyperlink r:id="rId435" ref="B457"/>
    <hyperlink r:id="rId436" ref="B458"/>
    <hyperlink r:id="rId437" ref="B459"/>
    <hyperlink r:id="rId438" ref="B460"/>
    <hyperlink r:id="rId439" ref="B461"/>
    <hyperlink r:id="rId440" ref="B462"/>
    <hyperlink r:id="rId441" ref="B463"/>
    <hyperlink r:id="rId442" ref="B464"/>
    <hyperlink r:id="rId443" ref="B465"/>
    <hyperlink r:id="rId444" ref="B466"/>
    <hyperlink r:id="rId445" ref="B467"/>
    <hyperlink r:id="rId446" ref="B468"/>
    <hyperlink r:id="rId447" ref="B469"/>
    <hyperlink r:id="rId448" ref="B470"/>
    <hyperlink r:id="rId449" ref="B471"/>
    <hyperlink r:id="rId450" ref="B472"/>
    <hyperlink r:id="rId451" ref="B473"/>
    <hyperlink r:id="rId452" ref="B474"/>
    <hyperlink r:id="rId453" ref="B475"/>
    <hyperlink r:id="rId454" ref="B476"/>
    <hyperlink r:id="rId455" ref="B477"/>
    <hyperlink r:id="rId456" ref="B478"/>
    <hyperlink r:id="rId457" ref="B479"/>
    <hyperlink r:id="rId458" ref="B480"/>
    <hyperlink r:id="rId459" ref="B481"/>
    <hyperlink r:id="rId460" ref="B482"/>
    <hyperlink r:id="rId461" ref="B483"/>
    <hyperlink r:id="rId462" ref="B484"/>
    <hyperlink r:id="rId463" ref="B485"/>
    <hyperlink r:id="rId464" ref="B487"/>
    <hyperlink r:id="rId465" ref="B488"/>
    <hyperlink r:id="rId466" ref="B489"/>
    <hyperlink r:id="rId467" ref="B490"/>
    <hyperlink r:id="rId468" ref="B491"/>
    <hyperlink r:id="rId469" ref="B492"/>
    <hyperlink r:id="rId470" ref="B493"/>
    <hyperlink r:id="rId471" ref="B494"/>
    <hyperlink r:id="rId472" ref="B495"/>
    <hyperlink r:id="rId473" ref="B496"/>
    <hyperlink r:id="rId474" ref="B497"/>
    <hyperlink r:id="rId475" ref="B498"/>
    <hyperlink r:id="rId476" ref="B499"/>
    <hyperlink r:id="rId477" ref="B500"/>
    <hyperlink r:id="rId478" ref="B501"/>
    <hyperlink r:id="rId479" ref="B502"/>
    <hyperlink r:id="rId480" ref="B503"/>
    <hyperlink r:id="rId481" ref="B504"/>
    <hyperlink r:id="rId482" ref="B505"/>
    <hyperlink r:id="rId483" ref="B506"/>
    <hyperlink r:id="rId484" ref="B507"/>
    <hyperlink r:id="rId485" ref="B508"/>
    <hyperlink r:id="rId486" ref="B509"/>
    <hyperlink r:id="rId487" ref="B510"/>
    <hyperlink r:id="rId488" ref="B511"/>
    <hyperlink r:id="rId489" ref="B512"/>
    <hyperlink r:id="rId490" ref="B513"/>
    <hyperlink r:id="rId491" ref="B514"/>
    <hyperlink r:id="rId492" ref="B515"/>
    <hyperlink r:id="rId493" ref="B516"/>
    <hyperlink r:id="rId494" ref="B517"/>
    <hyperlink r:id="rId495" ref="B518"/>
    <hyperlink r:id="rId496" ref="B519"/>
    <hyperlink r:id="rId497" ref="B520"/>
    <hyperlink r:id="rId498" ref="B522"/>
    <hyperlink r:id="rId499" ref="B523"/>
    <hyperlink r:id="rId500" ref="B524"/>
    <hyperlink r:id="rId501" ref="B525"/>
    <hyperlink r:id="rId502" ref="B526"/>
    <hyperlink r:id="rId503" ref="B528"/>
    <hyperlink r:id="rId504" ref="B530"/>
    <hyperlink r:id="rId505" ref="B532"/>
    <hyperlink r:id="rId506" ref="B533"/>
    <hyperlink r:id="rId507" ref="B534"/>
    <hyperlink r:id="rId508" ref="B539"/>
    <hyperlink r:id="rId509" ref="B542"/>
  </hyperlinks>
  <drawing r:id="rId510"/>
  <tableParts count="1">
    <tablePart r:id="rId5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5.56"/>
    <col customWidth="1" min="2" max="2" width="32.44"/>
    <col customWidth="1" min="4" max="4" width="12.0"/>
    <col customWidth="1" min="5" max="5" width="20.22"/>
    <col customWidth="1" min="6" max="6" width="72.0"/>
    <col customWidth="1" min="7" max="7" width="31.44"/>
  </cols>
  <sheetData>
    <row r="1">
      <c r="A1" s="3"/>
      <c r="B1" s="97"/>
      <c r="C1" s="97"/>
      <c r="D1" s="98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80" t="s">
        <v>1196</v>
      </c>
      <c r="B2" s="9" t="s">
        <v>1197</v>
      </c>
      <c r="C2" s="99" t="s">
        <v>1198</v>
      </c>
      <c r="D2" s="100" t="s">
        <v>1199</v>
      </c>
      <c r="E2" s="80" t="s">
        <v>1200</v>
      </c>
      <c r="F2" s="101" t="s">
        <v>1201</v>
      </c>
      <c r="G2" s="101" t="s">
        <v>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75" t="s">
        <v>399</v>
      </c>
      <c r="B3" s="84" t="s">
        <v>17</v>
      </c>
      <c r="C3" s="92" t="s">
        <v>1202</v>
      </c>
      <c r="D3" s="29">
        <v>590.0</v>
      </c>
      <c r="E3" s="16">
        <v>500.0</v>
      </c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75" t="s">
        <v>403</v>
      </c>
      <c r="B4" s="84" t="s">
        <v>17</v>
      </c>
      <c r="C4" s="92" t="s">
        <v>1202</v>
      </c>
      <c r="D4" s="29">
        <v>885.0</v>
      </c>
      <c r="E4" s="16">
        <v>800.0</v>
      </c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75" t="s">
        <v>96</v>
      </c>
      <c r="B5" s="84" t="s">
        <v>17</v>
      </c>
      <c r="C5" s="92" t="s">
        <v>1202</v>
      </c>
      <c r="D5" s="29">
        <v>575.0</v>
      </c>
      <c r="E5" s="16">
        <v>500.0</v>
      </c>
      <c r="F5" s="10" t="s">
        <v>1203</v>
      </c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75" t="s">
        <v>829</v>
      </c>
      <c r="B6" s="84" t="s">
        <v>1204</v>
      </c>
      <c r="C6" s="92"/>
      <c r="D6" s="29">
        <v>3200.0</v>
      </c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75" t="s">
        <v>99</v>
      </c>
      <c r="B7" s="84" t="s">
        <v>17</v>
      </c>
      <c r="C7" s="92" t="s">
        <v>1202</v>
      </c>
      <c r="D7" s="29">
        <v>575.0</v>
      </c>
      <c r="E7" s="16">
        <v>500.0</v>
      </c>
      <c r="F7" s="10" t="s">
        <v>1203</v>
      </c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75" t="s">
        <v>101</v>
      </c>
      <c r="B8" s="84" t="s">
        <v>17</v>
      </c>
      <c r="C8" s="92" t="s">
        <v>1202</v>
      </c>
      <c r="D8" s="29">
        <v>700.0</v>
      </c>
      <c r="E8" s="16">
        <v>650.0</v>
      </c>
      <c r="F8" s="10" t="s">
        <v>1203</v>
      </c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75" t="s">
        <v>519</v>
      </c>
      <c r="B9" s="84" t="s">
        <v>23</v>
      </c>
      <c r="C9" s="92" t="s">
        <v>1202</v>
      </c>
      <c r="D9" s="29">
        <v>4500.0</v>
      </c>
      <c r="E9" s="16"/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75" t="s">
        <v>1090</v>
      </c>
      <c r="B10" s="84" t="s">
        <v>1205</v>
      </c>
      <c r="C10" s="92" t="s">
        <v>1202</v>
      </c>
      <c r="D10" s="29">
        <v>5060.0</v>
      </c>
      <c r="E10" s="16"/>
      <c r="F10" s="16"/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75" t="s">
        <v>508</v>
      </c>
      <c r="B11" s="84" t="s">
        <v>23</v>
      </c>
      <c r="C11" s="92" t="s">
        <v>1202</v>
      </c>
      <c r="D11" s="29">
        <v>3850.0</v>
      </c>
      <c r="E11" s="16"/>
      <c r="F11" s="16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75" t="s">
        <v>836</v>
      </c>
      <c r="B12" s="84" t="s">
        <v>1206</v>
      </c>
      <c r="C12" s="92" t="s">
        <v>1202</v>
      </c>
      <c r="D12" s="29">
        <v>2450.0</v>
      </c>
      <c r="E12" s="16"/>
      <c r="F12" s="16"/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75" t="s">
        <v>665</v>
      </c>
      <c r="B13" s="84" t="s">
        <v>17</v>
      </c>
      <c r="C13" s="92" t="s">
        <v>1207</v>
      </c>
      <c r="D13" s="29">
        <v>10690.0</v>
      </c>
      <c r="E13" s="16"/>
      <c r="F13" s="16"/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102" t="s">
        <v>686</v>
      </c>
      <c r="B14" s="84" t="s">
        <v>23</v>
      </c>
      <c r="C14" s="92" t="s">
        <v>1202</v>
      </c>
      <c r="D14" s="29">
        <v>2700.0</v>
      </c>
      <c r="E14" s="16">
        <v>2300.0</v>
      </c>
      <c r="F14" s="16"/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102" t="s">
        <v>686</v>
      </c>
      <c r="B15" s="84" t="s">
        <v>1205</v>
      </c>
      <c r="C15" s="92" t="s">
        <v>1202</v>
      </c>
      <c r="D15" s="29">
        <v>2000.0</v>
      </c>
      <c r="E15" s="16">
        <v>1700.0</v>
      </c>
      <c r="F15" s="16"/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11" t="s">
        <v>104</v>
      </c>
      <c r="B16" s="91" t="s">
        <v>1208</v>
      </c>
      <c r="C16" s="103" t="s">
        <v>1202</v>
      </c>
      <c r="D16" s="22">
        <v>350.0</v>
      </c>
      <c r="E16" s="10">
        <v>300.0</v>
      </c>
      <c r="F16" s="10" t="s">
        <v>1209</v>
      </c>
      <c r="G16" s="10" t="s">
        <v>106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75" t="s">
        <v>107</v>
      </c>
      <c r="B17" s="84" t="s">
        <v>1210</v>
      </c>
      <c r="C17" s="92" t="s">
        <v>1202</v>
      </c>
      <c r="D17" s="29">
        <v>360.0</v>
      </c>
      <c r="E17" s="16"/>
      <c r="F17" s="104" t="s">
        <v>1203</v>
      </c>
      <c r="G17" s="1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75" t="s">
        <v>587</v>
      </c>
      <c r="B18" s="84" t="s">
        <v>1208</v>
      </c>
      <c r="C18" s="92" t="s">
        <v>1202</v>
      </c>
      <c r="D18" s="29">
        <v>960.0</v>
      </c>
      <c r="E18" s="16"/>
      <c r="F18" s="16"/>
      <c r="G18" s="1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75" t="s">
        <v>785</v>
      </c>
      <c r="B19" s="84" t="s">
        <v>23</v>
      </c>
      <c r="C19" s="92" t="s">
        <v>1202</v>
      </c>
      <c r="D19" s="29">
        <v>5750.0</v>
      </c>
      <c r="E19" s="16">
        <v>5500.0</v>
      </c>
      <c r="F19" s="16"/>
      <c r="G19" s="1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75" t="s">
        <v>785</v>
      </c>
      <c r="B20" s="84" t="s">
        <v>17</v>
      </c>
      <c r="C20" s="92" t="s">
        <v>1202</v>
      </c>
      <c r="D20" s="29">
        <v>3200.0</v>
      </c>
      <c r="E20" s="16">
        <v>3000.0</v>
      </c>
      <c r="F20" s="16"/>
      <c r="G20" s="1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75" t="s">
        <v>838</v>
      </c>
      <c r="B21" s="84" t="s">
        <v>17</v>
      </c>
      <c r="C21" s="92" t="s">
        <v>1202</v>
      </c>
      <c r="D21" s="29" t="s">
        <v>1211</v>
      </c>
      <c r="E21" s="16"/>
      <c r="F21" s="16"/>
      <c r="G21" s="1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75" t="s">
        <v>444</v>
      </c>
      <c r="B22" s="84" t="s">
        <v>1208</v>
      </c>
      <c r="C22" s="92"/>
      <c r="D22" s="29">
        <v>345.0</v>
      </c>
      <c r="E22" s="16"/>
      <c r="F22" s="16"/>
      <c r="G22" s="1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75" t="s">
        <v>1212</v>
      </c>
      <c r="B23" s="84" t="s">
        <v>1206</v>
      </c>
      <c r="C23" s="92" t="s">
        <v>1202</v>
      </c>
      <c r="D23" s="29">
        <v>7800.0</v>
      </c>
      <c r="E23" s="16"/>
      <c r="F23" s="16"/>
      <c r="G23" s="1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75" t="s">
        <v>840</v>
      </c>
      <c r="B24" s="84" t="s">
        <v>17</v>
      </c>
      <c r="C24" s="92" t="s">
        <v>1207</v>
      </c>
      <c r="D24" s="29">
        <v>13200.0</v>
      </c>
      <c r="E24" s="16"/>
      <c r="F24" s="16"/>
      <c r="G24" s="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75" t="s">
        <v>110</v>
      </c>
      <c r="B25" s="84" t="s">
        <v>17</v>
      </c>
      <c r="C25" s="92" t="s">
        <v>1202</v>
      </c>
      <c r="D25" s="29">
        <v>600.0</v>
      </c>
      <c r="E25" s="105"/>
      <c r="F25" s="106"/>
      <c r="G25" s="10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11" t="s">
        <v>112</v>
      </c>
      <c r="B26" s="91" t="s">
        <v>17</v>
      </c>
      <c r="C26" s="103" t="s">
        <v>1202</v>
      </c>
      <c r="D26" s="29"/>
      <c r="E26" s="105"/>
      <c r="F26" s="107" t="s">
        <v>1213</v>
      </c>
      <c r="G26" s="1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75" t="s">
        <v>843</v>
      </c>
      <c r="B27" s="84" t="s">
        <v>1214</v>
      </c>
      <c r="C27" s="92" t="s">
        <v>1202</v>
      </c>
      <c r="D27" s="29">
        <v>825.0</v>
      </c>
      <c r="E27" s="16"/>
      <c r="F27" s="16"/>
      <c r="G27" s="1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75" t="s">
        <v>13</v>
      </c>
      <c r="B28" s="84" t="s">
        <v>1210</v>
      </c>
      <c r="C28" s="92" t="s">
        <v>1202</v>
      </c>
      <c r="D28" s="29">
        <v>1035.0</v>
      </c>
      <c r="E28" s="10">
        <v>900.0</v>
      </c>
      <c r="F28" s="108" t="s">
        <v>1215</v>
      </c>
      <c r="G28" s="2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75" t="s">
        <v>845</v>
      </c>
      <c r="B29" s="84" t="s">
        <v>1206</v>
      </c>
      <c r="C29" s="92" t="s">
        <v>1202</v>
      </c>
      <c r="D29" s="29">
        <v>7800.0</v>
      </c>
      <c r="E29" s="16"/>
      <c r="F29" s="16"/>
      <c r="G29" s="1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75" t="s">
        <v>406</v>
      </c>
      <c r="B30" s="84" t="s">
        <v>23</v>
      </c>
      <c r="C30" s="92" t="s">
        <v>1202</v>
      </c>
      <c r="D30" s="29">
        <v>3300.0</v>
      </c>
      <c r="E30" s="16"/>
      <c r="F30" s="16"/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75" t="s">
        <v>1093</v>
      </c>
      <c r="B31" s="84" t="s">
        <v>23</v>
      </c>
      <c r="C31" s="92" t="s">
        <v>1202</v>
      </c>
      <c r="D31" s="29">
        <v>3375.0</v>
      </c>
      <c r="E31" s="16"/>
      <c r="F31" s="16"/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75" t="s">
        <v>1085</v>
      </c>
      <c r="B32" s="84" t="s">
        <v>23</v>
      </c>
      <c r="C32" s="92" t="s">
        <v>1202</v>
      </c>
      <c r="D32" s="29">
        <v>4500.0</v>
      </c>
      <c r="E32" s="16"/>
      <c r="F32" s="16"/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75" t="s">
        <v>1085</v>
      </c>
      <c r="B33" s="84" t="s">
        <v>1216</v>
      </c>
      <c r="C33" s="92" t="s">
        <v>1202</v>
      </c>
      <c r="D33" s="29">
        <v>3940.0</v>
      </c>
      <c r="E33" s="16"/>
      <c r="F33" s="16"/>
      <c r="G33" s="1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75" t="s">
        <v>447</v>
      </c>
      <c r="B34" s="84" t="s">
        <v>1205</v>
      </c>
      <c r="C34" s="92"/>
      <c r="D34" s="29">
        <v>11500.0</v>
      </c>
      <c r="E34" s="16"/>
      <c r="F34" s="16"/>
      <c r="G34" s="1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75" t="s">
        <v>849</v>
      </c>
      <c r="B35" s="84" t="s">
        <v>17</v>
      </c>
      <c r="C35" s="92" t="s">
        <v>1202</v>
      </c>
      <c r="D35" s="29">
        <v>4350.0</v>
      </c>
      <c r="E35" s="16">
        <v>4000.0</v>
      </c>
      <c r="F35" s="16"/>
      <c r="G35" s="1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75" t="s">
        <v>849</v>
      </c>
      <c r="B36" s="84" t="s">
        <v>1208</v>
      </c>
      <c r="C36" s="92" t="s">
        <v>1202</v>
      </c>
      <c r="D36" s="29">
        <v>3320.0</v>
      </c>
      <c r="E36" s="16">
        <v>3000.0</v>
      </c>
      <c r="F36" s="16"/>
      <c r="G36" s="1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75" t="s">
        <v>590</v>
      </c>
      <c r="B37" s="84" t="s">
        <v>1208</v>
      </c>
      <c r="C37" s="92" t="s">
        <v>1202</v>
      </c>
      <c r="D37" s="29">
        <v>1015.0</v>
      </c>
      <c r="E37" s="16"/>
      <c r="F37" s="16"/>
      <c r="G37" s="1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75" t="s">
        <v>568</v>
      </c>
      <c r="B38" s="84" t="s">
        <v>23</v>
      </c>
      <c r="C38" s="92" t="s">
        <v>1202</v>
      </c>
      <c r="D38" s="29">
        <v>2815.0</v>
      </c>
      <c r="E38" s="16"/>
      <c r="F38" s="16"/>
      <c r="G38" s="1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102" t="s">
        <v>724</v>
      </c>
      <c r="B39" s="84" t="s">
        <v>1205</v>
      </c>
      <c r="C39" s="92" t="s">
        <v>1207</v>
      </c>
      <c r="D39" s="29">
        <v>1150.0</v>
      </c>
      <c r="E39" s="16"/>
      <c r="F39" s="16"/>
      <c r="G39" s="1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75" t="s">
        <v>1217</v>
      </c>
      <c r="B40" s="84" t="s">
        <v>17</v>
      </c>
      <c r="C40" s="92" t="s">
        <v>1202</v>
      </c>
      <c r="D40" s="29">
        <v>33000.0</v>
      </c>
      <c r="E40" s="16"/>
      <c r="F40" s="16"/>
      <c r="G40" s="1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75" t="s">
        <v>117</v>
      </c>
      <c r="B41" s="84" t="s">
        <v>23</v>
      </c>
      <c r="C41" s="92" t="s">
        <v>1202</v>
      </c>
      <c r="D41" s="29">
        <v>1100.0</v>
      </c>
      <c r="E41" s="105"/>
      <c r="F41" s="106"/>
      <c r="G41" s="10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75" t="s">
        <v>120</v>
      </c>
      <c r="B42" s="84" t="s">
        <v>1218</v>
      </c>
      <c r="C42" s="92" t="s">
        <v>1202</v>
      </c>
      <c r="D42" s="29">
        <v>5200.0</v>
      </c>
      <c r="E42" s="105"/>
      <c r="F42" s="16"/>
      <c r="G42" s="1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75" t="s">
        <v>668</v>
      </c>
      <c r="B43" s="84" t="s">
        <v>17</v>
      </c>
      <c r="C43" s="92" t="s">
        <v>1207</v>
      </c>
      <c r="D43" s="29">
        <v>10690.0</v>
      </c>
      <c r="E43" s="16"/>
      <c r="F43" s="16"/>
      <c r="G43" s="1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75" t="s">
        <v>123</v>
      </c>
      <c r="B44" s="84" t="s">
        <v>17</v>
      </c>
      <c r="C44" s="92" t="s">
        <v>1202</v>
      </c>
      <c r="D44" s="29">
        <v>250.0</v>
      </c>
      <c r="E44" s="16"/>
      <c r="F44" s="16"/>
      <c r="G44" s="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75" t="s">
        <v>16</v>
      </c>
      <c r="B45" s="84" t="s">
        <v>1210</v>
      </c>
      <c r="C45" s="92" t="s">
        <v>1219</v>
      </c>
      <c r="D45" s="29">
        <v>8900.0</v>
      </c>
      <c r="E45" s="16">
        <v>8000.0</v>
      </c>
      <c r="F45" s="16"/>
      <c r="G45" s="1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75" t="s">
        <v>19</v>
      </c>
      <c r="B46" s="84" t="s">
        <v>17</v>
      </c>
      <c r="C46" s="92" t="s">
        <v>1202</v>
      </c>
      <c r="D46" s="29">
        <v>1380.0</v>
      </c>
      <c r="E46" s="105"/>
      <c r="F46" s="106"/>
      <c r="G46" s="10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75" t="s">
        <v>129</v>
      </c>
      <c r="B47" s="84" t="s">
        <v>17</v>
      </c>
      <c r="C47" s="92" t="s">
        <v>1202</v>
      </c>
      <c r="D47" s="29">
        <v>575.0</v>
      </c>
      <c r="E47" s="16">
        <v>500.0</v>
      </c>
      <c r="F47" s="16"/>
      <c r="G47" s="1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75" t="s">
        <v>20</v>
      </c>
      <c r="B48" s="84" t="s">
        <v>17</v>
      </c>
      <c r="C48" s="92" t="s">
        <v>1202</v>
      </c>
      <c r="D48" s="29">
        <v>575.0</v>
      </c>
      <c r="E48" s="109">
        <v>500.0</v>
      </c>
      <c r="F48" s="106"/>
      <c r="G48" s="10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75" t="s">
        <v>670</v>
      </c>
      <c r="B49" s="84" t="s">
        <v>1220</v>
      </c>
      <c r="C49" s="92"/>
      <c r="D49" s="29">
        <v>3375.0</v>
      </c>
      <c r="E49" s="16"/>
      <c r="F49" s="16"/>
      <c r="G49" s="1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75" t="s">
        <v>133</v>
      </c>
      <c r="B50" s="84" t="s">
        <v>23</v>
      </c>
      <c r="C50" s="92" t="s">
        <v>1202</v>
      </c>
      <c r="D50" s="29">
        <v>460.0</v>
      </c>
      <c r="E50" s="105"/>
      <c r="F50" s="106"/>
      <c r="G50" s="10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75" t="s">
        <v>449</v>
      </c>
      <c r="B51" s="84" t="s">
        <v>23</v>
      </c>
      <c r="C51" s="92"/>
      <c r="D51" s="29">
        <v>575.0</v>
      </c>
      <c r="E51" s="16"/>
      <c r="F51" s="16"/>
      <c r="G51" s="1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75" t="s">
        <v>858</v>
      </c>
      <c r="B52" s="84" t="s">
        <v>1221</v>
      </c>
      <c r="C52" s="92" t="s">
        <v>1202</v>
      </c>
      <c r="D52" s="29">
        <v>4300.0</v>
      </c>
      <c r="E52" s="16"/>
      <c r="F52" s="16"/>
      <c r="G52" s="1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75" t="s">
        <v>858</v>
      </c>
      <c r="B53" s="84" t="s">
        <v>1221</v>
      </c>
      <c r="C53" s="92" t="s">
        <v>1222</v>
      </c>
      <c r="D53" s="29">
        <v>18000.0</v>
      </c>
      <c r="E53" s="16"/>
      <c r="F53" s="16"/>
      <c r="G53" s="1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102" t="s">
        <v>728</v>
      </c>
      <c r="B54" s="84" t="s">
        <v>23</v>
      </c>
      <c r="C54" s="92" t="s">
        <v>1207</v>
      </c>
      <c r="D54" s="29">
        <v>13500.0</v>
      </c>
      <c r="E54" s="16"/>
      <c r="F54" s="16"/>
      <c r="G54" s="1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102" t="s">
        <v>728</v>
      </c>
      <c r="B55" s="84" t="s">
        <v>1205</v>
      </c>
      <c r="C55" s="92" t="s">
        <v>1207</v>
      </c>
      <c r="D55" s="29">
        <v>7300.0</v>
      </c>
      <c r="E55" s="16"/>
      <c r="F55" s="16"/>
      <c r="G55" s="1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75" t="s">
        <v>24</v>
      </c>
      <c r="B56" s="84" t="s">
        <v>17</v>
      </c>
      <c r="C56" s="92" t="s">
        <v>1202</v>
      </c>
      <c r="D56" s="22">
        <v>1700.0</v>
      </c>
      <c r="E56" s="15">
        <v>1500.0</v>
      </c>
      <c r="F56" s="10" t="s">
        <v>1223</v>
      </c>
      <c r="G56" s="2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75" t="s">
        <v>862</v>
      </c>
      <c r="B57" s="84" t="s">
        <v>1224</v>
      </c>
      <c r="C57" s="92" t="s">
        <v>1225</v>
      </c>
      <c r="D57" s="29">
        <v>385.0</v>
      </c>
      <c r="E57" s="16"/>
      <c r="F57" s="16"/>
      <c r="G57" s="1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75" t="s">
        <v>764</v>
      </c>
      <c r="B58" s="84" t="s">
        <v>1205</v>
      </c>
      <c r="C58" s="92" t="s">
        <v>1202</v>
      </c>
      <c r="D58" s="29">
        <v>6460.0</v>
      </c>
      <c r="E58" s="16">
        <v>5500.0</v>
      </c>
      <c r="F58" s="16"/>
      <c r="G58" s="1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75" t="s">
        <v>864</v>
      </c>
      <c r="B59" s="84" t="s">
        <v>1214</v>
      </c>
      <c r="C59" s="92" t="s">
        <v>1202</v>
      </c>
      <c r="D59" s="29">
        <v>880.0</v>
      </c>
      <c r="E59" s="16"/>
      <c r="F59" s="16"/>
      <c r="G59" s="1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75" t="s">
        <v>592</v>
      </c>
      <c r="B60" s="84" t="s">
        <v>1208</v>
      </c>
      <c r="C60" s="92" t="s">
        <v>1202</v>
      </c>
      <c r="D60" s="29">
        <v>960.0</v>
      </c>
      <c r="E60" s="16"/>
      <c r="F60" s="16"/>
      <c r="G60" s="1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75" t="s">
        <v>866</v>
      </c>
      <c r="B61" s="84" t="s">
        <v>1206</v>
      </c>
      <c r="C61" s="92" t="s">
        <v>1202</v>
      </c>
      <c r="D61" s="29">
        <v>3700.0</v>
      </c>
      <c r="E61" s="16"/>
      <c r="F61" s="16"/>
      <c r="G61" s="1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75" t="s">
        <v>868</v>
      </c>
      <c r="B62" s="84" t="s">
        <v>1214</v>
      </c>
      <c r="C62" s="92" t="s">
        <v>1202</v>
      </c>
      <c r="D62" s="29">
        <v>495.0</v>
      </c>
      <c r="E62" s="16"/>
      <c r="F62" s="16"/>
      <c r="G62" s="1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75" t="s">
        <v>594</v>
      </c>
      <c r="B63" s="84" t="s">
        <v>1208</v>
      </c>
      <c r="C63" s="92" t="s">
        <v>1202</v>
      </c>
      <c r="D63" s="29">
        <v>960.0</v>
      </c>
      <c r="E63" s="16"/>
      <c r="F63" s="16"/>
      <c r="G63" s="1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75" t="s">
        <v>25</v>
      </c>
      <c r="B64" s="84" t="s">
        <v>1210</v>
      </c>
      <c r="C64" s="92" t="s">
        <v>1202</v>
      </c>
      <c r="D64" s="29">
        <v>1725.0</v>
      </c>
      <c r="E64" s="105"/>
      <c r="F64" s="106"/>
      <c r="G64" s="10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75" t="s">
        <v>25</v>
      </c>
      <c r="B65" s="84" t="s">
        <v>1218</v>
      </c>
      <c r="C65" s="92" t="s">
        <v>1226</v>
      </c>
      <c r="D65" s="29">
        <v>5500.0</v>
      </c>
      <c r="E65" s="105"/>
      <c r="F65" s="16"/>
      <c r="G65" s="1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75" t="s">
        <v>140</v>
      </c>
      <c r="B66" s="84" t="s">
        <v>17</v>
      </c>
      <c r="C66" s="92" t="s">
        <v>1202</v>
      </c>
      <c r="D66" s="29">
        <v>300.0</v>
      </c>
      <c r="E66" s="16">
        <v>250.0</v>
      </c>
      <c r="F66" s="16"/>
      <c r="G66" s="1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75" t="s">
        <v>870</v>
      </c>
      <c r="B67" s="84" t="s">
        <v>1227</v>
      </c>
      <c r="C67" s="92" t="s">
        <v>1202</v>
      </c>
      <c r="D67" s="29">
        <v>2200.0</v>
      </c>
      <c r="E67" s="16"/>
      <c r="F67" s="16"/>
      <c r="G67" s="1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75" t="s">
        <v>143</v>
      </c>
      <c r="B68" s="84" t="s">
        <v>23</v>
      </c>
      <c r="C68" s="92" t="s">
        <v>1202</v>
      </c>
      <c r="D68" s="29">
        <v>520.0</v>
      </c>
      <c r="E68" s="16">
        <v>450.0</v>
      </c>
      <c r="F68" s="16"/>
      <c r="G68" s="1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75" t="s">
        <v>872</v>
      </c>
      <c r="B69" s="84" t="s">
        <v>1227</v>
      </c>
      <c r="C69" s="92" t="s">
        <v>1202</v>
      </c>
      <c r="D69" s="29">
        <v>5625.0</v>
      </c>
      <c r="E69" s="16"/>
      <c r="F69" s="16"/>
      <c r="G69" s="1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102" t="s">
        <v>874</v>
      </c>
      <c r="B70" s="84" t="s">
        <v>1228</v>
      </c>
      <c r="C70" s="92" t="s">
        <v>1202</v>
      </c>
      <c r="D70" s="29">
        <v>5500.0</v>
      </c>
      <c r="E70" s="16"/>
      <c r="F70" s="16"/>
      <c r="G70" s="1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75" t="s">
        <v>145</v>
      </c>
      <c r="B71" s="84" t="s">
        <v>17</v>
      </c>
      <c r="C71" s="92" t="s">
        <v>1202</v>
      </c>
      <c r="D71" s="29">
        <v>650.0</v>
      </c>
      <c r="E71" s="16">
        <v>600.0</v>
      </c>
      <c r="F71" s="16"/>
      <c r="G71" s="1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75" t="s">
        <v>1095</v>
      </c>
      <c r="B72" s="84" t="s">
        <v>17</v>
      </c>
      <c r="C72" s="92" t="s">
        <v>1207</v>
      </c>
      <c r="D72" s="29">
        <v>10690.0</v>
      </c>
      <c r="E72" s="16"/>
      <c r="F72" s="16"/>
      <c r="G72" s="1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75" t="s">
        <v>1095</v>
      </c>
      <c r="B73" s="84" t="s">
        <v>17</v>
      </c>
      <c r="C73" s="92"/>
      <c r="D73" s="29" t="s">
        <v>1229</v>
      </c>
      <c r="E73" s="16"/>
      <c r="F73" s="16"/>
      <c r="G73" s="1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75" t="s">
        <v>876</v>
      </c>
      <c r="B74" s="84" t="s">
        <v>17</v>
      </c>
      <c r="C74" s="92" t="s">
        <v>1202</v>
      </c>
      <c r="D74" s="29">
        <v>19250.0</v>
      </c>
      <c r="E74" s="16"/>
      <c r="F74" s="16"/>
      <c r="G74" s="1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75" t="s">
        <v>876</v>
      </c>
      <c r="B75" s="84" t="s">
        <v>1205</v>
      </c>
      <c r="C75" s="92" t="s">
        <v>1207</v>
      </c>
      <c r="D75" s="29">
        <v>39375.0</v>
      </c>
      <c r="E75" s="16"/>
      <c r="F75" s="16"/>
      <c r="G75" s="1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75" t="s">
        <v>791</v>
      </c>
      <c r="B76" s="84" t="s">
        <v>1214</v>
      </c>
      <c r="C76" s="92" t="s">
        <v>1202</v>
      </c>
      <c r="D76" s="29">
        <v>6820.0</v>
      </c>
      <c r="E76" s="16"/>
      <c r="F76" s="16"/>
      <c r="G76" s="1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110" t="s">
        <v>791</v>
      </c>
      <c r="B77" s="84" t="s">
        <v>1228</v>
      </c>
      <c r="C77" s="92" t="s">
        <v>1202</v>
      </c>
      <c r="D77" s="29">
        <v>6820.0</v>
      </c>
      <c r="E77" s="16"/>
      <c r="F77" s="16"/>
      <c r="G77" s="1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75" t="s">
        <v>147</v>
      </c>
      <c r="B78" s="84" t="s">
        <v>17</v>
      </c>
      <c r="C78" s="92" t="s">
        <v>1202</v>
      </c>
      <c r="D78" s="29">
        <v>600.0</v>
      </c>
      <c r="E78" s="16">
        <v>550.0</v>
      </c>
      <c r="F78" s="16"/>
      <c r="G78" s="1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75" t="s">
        <v>451</v>
      </c>
      <c r="B79" s="84" t="s">
        <v>1208</v>
      </c>
      <c r="C79" s="92"/>
      <c r="D79" s="29">
        <v>805.0</v>
      </c>
      <c r="E79" s="16"/>
      <c r="F79" s="16"/>
      <c r="G79" s="1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75" t="s">
        <v>28</v>
      </c>
      <c r="B80" s="84" t="s">
        <v>1206</v>
      </c>
      <c r="C80" s="92" t="s">
        <v>1202</v>
      </c>
      <c r="D80" s="29">
        <v>7000.0</v>
      </c>
      <c r="E80" s="10">
        <v>6500.0</v>
      </c>
      <c r="F80" s="16"/>
      <c r="G80" s="1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75" t="s">
        <v>596</v>
      </c>
      <c r="B81" s="84" t="s">
        <v>1208</v>
      </c>
      <c r="C81" s="92" t="s">
        <v>1202</v>
      </c>
      <c r="D81" s="29">
        <v>960.0</v>
      </c>
      <c r="E81" s="16"/>
      <c r="F81" s="16"/>
      <c r="G81" s="1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75" t="s">
        <v>794</v>
      </c>
      <c r="B82" s="84" t="s">
        <v>1205</v>
      </c>
      <c r="C82" s="92" t="s">
        <v>1219</v>
      </c>
      <c r="D82" s="29">
        <v>15750.0</v>
      </c>
      <c r="E82" s="16">
        <v>14000.0</v>
      </c>
      <c r="F82" s="16"/>
      <c r="G82" s="1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75" t="s">
        <v>794</v>
      </c>
      <c r="B83" s="84" t="s">
        <v>1205</v>
      </c>
      <c r="C83" s="92" t="s">
        <v>1202</v>
      </c>
      <c r="D83" s="29">
        <v>4700.0</v>
      </c>
      <c r="E83" s="16">
        <v>4000.0</v>
      </c>
      <c r="F83" s="16"/>
      <c r="G83" s="1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75" t="s">
        <v>794</v>
      </c>
      <c r="B84" s="84" t="s">
        <v>23</v>
      </c>
      <c r="C84" s="92" t="s">
        <v>1202</v>
      </c>
      <c r="D84" s="29">
        <v>9400.0</v>
      </c>
      <c r="E84" s="16">
        <v>8000.0</v>
      </c>
      <c r="F84" s="16"/>
      <c r="G84" s="1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75" t="s">
        <v>453</v>
      </c>
      <c r="B85" s="84" t="s">
        <v>23</v>
      </c>
      <c r="C85" s="92" t="s">
        <v>1202</v>
      </c>
      <c r="D85" s="29">
        <v>1650.0</v>
      </c>
      <c r="E85" s="16"/>
      <c r="F85" s="16"/>
      <c r="G85" s="1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75" t="s">
        <v>598</v>
      </c>
      <c r="B86" s="84" t="s">
        <v>1208</v>
      </c>
      <c r="C86" s="92" t="s">
        <v>1202</v>
      </c>
      <c r="D86" s="29">
        <v>960.0</v>
      </c>
      <c r="E86" s="16"/>
      <c r="F86" s="16"/>
      <c r="G86" s="1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75" t="s">
        <v>598</v>
      </c>
      <c r="B87" s="84" t="s">
        <v>1208</v>
      </c>
      <c r="C87" s="92" t="s">
        <v>1202</v>
      </c>
      <c r="D87" s="29">
        <v>960.0</v>
      </c>
      <c r="E87" s="16"/>
      <c r="F87" s="16"/>
      <c r="G87" s="1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75" t="s">
        <v>87</v>
      </c>
      <c r="B88" s="84" t="s">
        <v>1218</v>
      </c>
      <c r="C88" s="92"/>
      <c r="D88" s="29">
        <v>3000.0</v>
      </c>
      <c r="E88" s="16"/>
      <c r="F88" s="16"/>
      <c r="G88" s="1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75" t="s">
        <v>29</v>
      </c>
      <c r="B89" s="84" t="s">
        <v>17</v>
      </c>
      <c r="C89" s="103" t="s">
        <v>1207</v>
      </c>
      <c r="D89" s="29">
        <v>1760.0</v>
      </c>
      <c r="E89" s="105"/>
      <c r="F89" s="106"/>
      <c r="G89" s="10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75" t="s">
        <v>455</v>
      </c>
      <c r="B90" s="84" t="s">
        <v>23</v>
      </c>
      <c r="C90" s="92"/>
      <c r="D90" s="29">
        <v>1725.0</v>
      </c>
      <c r="E90" s="16"/>
      <c r="F90" s="16"/>
      <c r="G90" s="1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75" t="s">
        <v>153</v>
      </c>
      <c r="B91" s="84" t="s">
        <v>17</v>
      </c>
      <c r="C91" s="92" t="s">
        <v>1202</v>
      </c>
      <c r="D91" s="29">
        <v>450.0</v>
      </c>
      <c r="E91" s="10">
        <v>400.0</v>
      </c>
      <c r="F91" s="28"/>
      <c r="G91" s="2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75" t="s">
        <v>767</v>
      </c>
      <c r="B92" s="84" t="s">
        <v>1205</v>
      </c>
      <c r="C92" s="92" t="s">
        <v>1202</v>
      </c>
      <c r="D92" s="29">
        <v>5875.0</v>
      </c>
      <c r="E92" s="16">
        <v>5000.0</v>
      </c>
      <c r="F92" s="16"/>
      <c r="G92" s="1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75" t="s">
        <v>601</v>
      </c>
      <c r="B93" s="84" t="s">
        <v>1208</v>
      </c>
      <c r="C93" s="92" t="s">
        <v>1202</v>
      </c>
      <c r="D93" s="29">
        <v>1015.0</v>
      </c>
      <c r="E93" s="16"/>
      <c r="F93" s="16"/>
      <c r="G93" s="1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75" t="s">
        <v>880</v>
      </c>
      <c r="B94" s="84" t="s">
        <v>1230</v>
      </c>
      <c r="C94" s="92" t="s">
        <v>1202</v>
      </c>
      <c r="D94" s="29">
        <v>990.0</v>
      </c>
      <c r="E94" s="16"/>
      <c r="F94" s="16"/>
      <c r="G94" s="1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75" t="s">
        <v>155</v>
      </c>
      <c r="B95" s="84" t="s">
        <v>23</v>
      </c>
      <c r="C95" s="92" t="s">
        <v>1202</v>
      </c>
      <c r="D95" s="29">
        <v>920.0</v>
      </c>
      <c r="E95" s="105"/>
      <c r="F95" s="106"/>
      <c r="G95" s="10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75" t="s">
        <v>457</v>
      </c>
      <c r="B96" s="84" t="s">
        <v>1208</v>
      </c>
      <c r="C96" s="92"/>
      <c r="D96" s="29">
        <v>2070.0</v>
      </c>
      <c r="E96" s="16"/>
      <c r="F96" s="16"/>
      <c r="G96" s="1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75" t="s">
        <v>882</v>
      </c>
      <c r="B97" s="84" t="s">
        <v>1231</v>
      </c>
      <c r="C97" s="92" t="s">
        <v>1202</v>
      </c>
      <c r="D97" s="29">
        <v>27500.0</v>
      </c>
      <c r="E97" s="16"/>
      <c r="F97" s="16"/>
      <c r="G97" s="1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75" t="s">
        <v>31</v>
      </c>
      <c r="B98" s="84" t="s">
        <v>1210</v>
      </c>
      <c r="C98" s="92" t="s">
        <v>1202</v>
      </c>
      <c r="D98" s="29">
        <v>1700.0</v>
      </c>
      <c r="E98" s="105"/>
      <c r="F98" s="106"/>
      <c r="G98" s="10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75" t="s">
        <v>31</v>
      </c>
      <c r="B99" s="84" t="s">
        <v>1218</v>
      </c>
      <c r="C99" s="92" t="s">
        <v>1232</v>
      </c>
      <c r="D99" s="29">
        <v>7700.0</v>
      </c>
      <c r="E99" s="105"/>
      <c r="F99" s="16"/>
      <c r="G99" s="1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75" t="s">
        <v>672</v>
      </c>
      <c r="B100" s="84" t="s">
        <v>23</v>
      </c>
      <c r="C100" s="92" t="s">
        <v>1202</v>
      </c>
      <c r="D100" s="29">
        <v>11250.0</v>
      </c>
      <c r="E100" s="16"/>
      <c r="F100" s="16"/>
      <c r="G100" s="1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75" t="s">
        <v>672</v>
      </c>
      <c r="B101" s="84" t="s">
        <v>1205</v>
      </c>
      <c r="C101" s="92" t="s">
        <v>1202</v>
      </c>
      <c r="D101" s="29">
        <v>4500.0</v>
      </c>
      <c r="E101" s="16"/>
      <c r="F101" s="16"/>
      <c r="G101" s="1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75" t="s">
        <v>884</v>
      </c>
      <c r="B102" s="84" t="s">
        <v>1214</v>
      </c>
      <c r="C102" s="92" t="s">
        <v>1233</v>
      </c>
      <c r="D102" s="29">
        <v>430.0</v>
      </c>
      <c r="E102" s="16"/>
      <c r="F102" s="16"/>
      <c r="G102" s="1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75" t="s">
        <v>603</v>
      </c>
      <c r="B103" s="84" t="s">
        <v>1208</v>
      </c>
      <c r="C103" s="92" t="s">
        <v>1202</v>
      </c>
      <c r="D103" s="29">
        <v>960.0</v>
      </c>
      <c r="E103" s="16"/>
      <c r="F103" s="16"/>
      <c r="G103" s="1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75" t="s">
        <v>159</v>
      </c>
      <c r="B104" s="84" t="s">
        <v>17</v>
      </c>
      <c r="C104" s="92" t="s">
        <v>1202</v>
      </c>
      <c r="D104" s="29">
        <v>575.0</v>
      </c>
      <c r="E104" s="16">
        <v>500.0</v>
      </c>
      <c r="F104" s="16"/>
      <c r="G104" s="1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75" t="s">
        <v>886</v>
      </c>
      <c r="B105" s="84" t="s">
        <v>1204</v>
      </c>
      <c r="C105" s="92"/>
      <c r="D105" s="29">
        <v>2900.0</v>
      </c>
      <c r="E105" s="16"/>
      <c r="F105" s="16"/>
      <c r="G105" s="1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75" t="s">
        <v>1098</v>
      </c>
      <c r="B106" s="84" t="s">
        <v>1205</v>
      </c>
      <c r="C106" s="92" t="s">
        <v>1202</v>
      </c>
      <c r="D106" s="29">
        <v>6750.0</v>
      </c>
      <c r="E106" s="16"/>
      <c r="F106" s="16"/>
      <c r="G106" s="1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75" t="s">
        <v>33</v>
      </c>
      <c r="B107" s="84" t="s">
        <v>17</v>
      </c>
      <c r="C107" s="92" t="s">
        <v>1202</v>
      </c>
      <c r="D107" s="29">
        <v>600.0</v>
      </c>
      <c r="E107" s="10">
        <v>500.0</v>
      </c>
      <c r="F107" s="28"/>
      <c r="G107" s="2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75" t="s">
        <v>33</v>
      </c>
      <c r="B108" s="84" t="s">
        <v>1218</v>
      </c>
      <c r="C108" s="92" t="s">
        <v>1202</v>
      </c>
      <c r="D108" s="22">
        <v>1900.0</v>
      </c>
      <c r="E108" s="10">
        <v>1500.0</v>
      </c>
      <c r="F108" s="16"/>
      <c r="G108" s="1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75" t="s">
        <v>1082</v>
      </c>
      <c r="B109" s="84" t="s">
        <v>1234</v>
      </c>
      <c r="C109" s="92" t="s">
        <v>1202</v>
      </c>
      <c r="D109" s="29">
        <v>14850.0</v>
      </c>
      <c r="E109" s="16"/>
      <c r="F109" s="16"/>
      <c r="G109" s="1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75" t="s">
        <v>888</v>
      </c>
      <c r="B110" s="84" t="s">
        <v>1227</v>
      </c>
      <c r="C110" s="92" t="s">
        <v>1202</v>
      </c>
      <c r="D110" s="29">
        <v>2815.0</v>
      </c>
      <c r="E110" s="16"/>
      <c r="F110" s="16"/>
      <c r="G110" s="1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75" t="s">
        <v>571</v>
      </c>
      <c r="B111" s="84" t="s">
        <v>23</v>
      </c>
      <c r="C111" s="92" t="s">
        <v>1202</v>
      </c>
      <c r="D111" s="29">
        <v>2250.0</v>
      </c>
      <c r="E111" s="16"/>
      <c r="F111" s="16"/>
      <c r="G111" s="1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75" t="s">
        <v>409</v>
      </c>
      <c r="B112" s="84" t="s">
        <v>23</v>
      </c>
      <c r="C112" s="92" t="s">
        <v>1202</v>
      </c>
      <c r="D112" s="29">
        <v>3600.0</v>
      </c>
      <c r="E112" s="16">
        <v>3250.0</v>
      </c>
      <c r="F112" s="16"/>
      <c r="G112" s="1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75" t="s">
        <v>411</v>
      </c>
      <c r="B113" s="84" t="s">
        <v>23</v>
      </c>
      <c r="C113" s="92" t="s">
        <v>1202</v>
      </c>
      <c r="D113" s="29">
        <v>3500.0</v>
      </c>
      <c r="E113" s="16">
        <v>3250.0</v>
      </c>
      <c r="F113" s="16"/>
      <c r="G113" s="1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75" t="s">
        <v>411</v>
      </c>
      <c r="B114" s="84" t="s">
        <v>23</v>
      </c>
      <c r="C114" s="92" t="s">
        <v>1202</v>
      </c>
      <c r="D114" s="29">
        <v>2890.0</v>
      </c>
      <c r="E114" s="16">
        <v>2550.0</v>
      </c>
      <c r="F114" s="16"/>
      <c r="G114" s="1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75" t="s">
        <v>1100</v>
      </c>
      <c r="B115" s="84" t="s">
        <v>17</v>
      </c>
      <c r="C115" s="92" t="s">
        <v>1202</v>
      </c>
      <c r="D115" s="29">
        <v>1125.0</v>
      </c>
      <c r="E115" s="16"/>
      <c r="F115" s="16"/>
      <c r="G115" s="1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75" t="s">
        <v>36</v>
      </c>
      <c r="B116" s="84" t="s">
        <v>1210</v>
      </c>
      <c r="C116" s="92" t="s">
        <v>1202</v>
      </c>
      <c r="D116" s="22">
        <v>690.0</v>
      </c>
      <c r="E116" s="10">
        <v>550.0</v>
      </c>
      <c r="F116" s="28"/>
      <c r="G116" s="2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75" t="s">
        <v>36</v>
      </c>
      <c r="B117" s="84" t="s">
        <v>1218</v>
      </c>
      <c r="C117" s="92" t="s">
        <v>1235</v>
      </c>
      <c r="D117" s="22">
        <v>6000.0</v>
      </c>
      <c r="E117" s="111">
        <v>5000.0</v>
      </c>
      <c r="F117" s="16"/>
      <c r="G117" s="1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75" t="s">
        <v>39</v>
      </c>
      <c r="B118" s="84" t="s">
        <v>1218</v>
      </c>
      <c r="C118" s="92" t="s">
        <v>1202</v>
      </c>
      <c r="D118" s="29">
        <v>5200.0</v>
      </c>
      <c r="E118" s="10">
        <v>4500.0</v>
      </c>
      <c r="F118" s="16"/>
      <c r="G118" s="1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75" t="s">
        <v>890</v>
      </c>
      <c r="B119" s="84" t="s">
        <v>1214</v>
      </c>
      <c r="C119" s="92" t="s">
        <v>1202</v>
      </c>
      <c r="D119" s="29">
        <v>660.0</v>
      </c>
      <c r="E119" s="16"/>
      <c r="F119" s="16"/>
      <c r="G119" s="1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75" t="s">
        <v>165</v>
      </c>
      <c r="B120" s="84" t="s">
        <v>23</v>
      </c>
      <c r="C120" s="92" t="s">
        <v>1202</v>
      </c>
      <c r="D120" s="29">
        <v>1100.0</v>
      </c>
      <c r="E120" s="105"/>
      <c r="F120" s="16"/>
      <c r="G120" s="1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75" t="s">
        <v>796</v>
      </c>
      <c r="B121" s="84" t="s">
        <v>17</v>
      </c>
      <c r="C121" s="92" t="s">
        <v>1202</v>
      </c>
      <c r="D121" s="29">
        <v>4950.0</v>
      </c>
      <c r="E121" s="16"/>
      <c r="F121" s="16"/>
      <c r="G121" s="1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75" t="s">
        <v>796</v>
      </c>
      <c r="B122" s="84" t="s">
        <v>1205</v>
      </c>
      <c r="C122" s="92" t="s">
        <v>1202</v>
      </c>
      <c r="D122" s="29">
        <v>7700.0</v>
      </c>
      <c r="E122" s="16"/>
      <c r="F122" s="16"/>
      <c r="G122" s="1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75" t="s">
        <v>796</v>
      </c>
      <c r="B123" s="84" t="s">
        <v>23</v>
      </c>
      <c r="C123" s="92" t="s">
        <v>1202</v>
      </c>
      <c r="D123" s="29">
        <v>17300.0</v>
      </c>
      <c r="E123" s="16"/>
      <c r="F123" s="16"/>
      <c r="G123" s="1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75" t="s">
        <v>1172</v>
      </c>
      <c r="B124" s="84" t="s">
        <v>1236</v>
      </c>
      <c r="C124" s="92" t="s">
        <v>1202</v>
      </c>
      <c r="D124" s="29">
        <v>2000.0</v>
      </c>
      <c r="E124" s="16"/>
      <c r="F124" s="16"/>
      <c r="G124" s="1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75" t="s">
        <v>769</v>
      </c>
      <c r="B125" s="84" t="s">
        <v>23</v>
      </c>
      <c r="C125" s="92" t="s">
        <v>1202</v>
      </c>
      <c r="D125" s="29">
        <v>29375.0</v>
      </c>
      <c r="E125" s="16">
        <v>25000.0</v>
      </c>
      <c r="F125" s="16"/>
      <c r="G125" s="1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75" t="s">
        <v>769</v>
      </c>
      <c r="B126" s="84" t="s">
        <v>1205</v>
      </c>
      <c r="C126" s="92" t="s">
        <v>1202</v>
      </c>
      <c r="D126" s="29">
        <v>10105.0</v>
      </c>
      <c r="E126" s="16">
        <v>8600.0</v>
      </c>
      <c r="F126" s="16"/>
      <c r="G126" s="1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75" t="s">
        <v>41</v>
      </c>
      <c r="B127" s="84" t="s">
        <v>23</v>
      </c>
      <c r="C127" s="92" t="s">
        <v>1202</v>
      </c>
      <c r="D127" s="29">
        <v>920.0</v>
      </c>
      <c r="E127" s="105"/>
      <c r="F127" s="16"/>
      <c r="G127" s="1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75" t="s">
        <v>605</v>
      </c>
      <c r="B128" s="84" t="s">
        <v>1208</v>
      </c>
      <c r="C128" s="92" t="s">
        <v>1202</v>
      </c>
      <c r="D128" s="29">
        <v>960.0</v>
      </c>
      <c r="E128" s="16"/>
      <c r="F128" s="16"/>
      <c r="G128" s="1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75" t="s">
        <v>607</v>
      </c>
      <c r="B129" s="84" t="s">
        <v>1208</v>
      </c>
      <c r="C129" s="92" t="s">
        <v>1202</v>
      </c>
      <c r="D129" s="29">
        <v>1015.0</v>
      </c>
      <c r="E129" s="16"/>
      <c r="F129" s="16"/>
      <c r="G129" s="1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102" t="s">
        <v>734</v>
      </c>
      <c r="B130" s="84" t="s">
        <v>23</v>
      </c>
      <c r="C130" s="92" t="s">
        <v>1207</v>
      </c>
      <c r="D130" s="29">
        <v>3000.0</v>
      </c>
      <c r="E130" s="16"/>
      <c r="F130" s="16"/>
      <c r="G130" s="1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102" t="s">
        <v>734</v>
      </c>
      <c r="B131" s="84" t="s">
        <v>1205</v>
      </c>
      <c r="C131" s="92" t="s">
        <v>1207</v>
      </c>
      <c r="D131" s="29">
        <v>6500.0</v>
      </c>
      <c r="E131" s="16"/>
      <c r="F131" s="16"/>
      <c r="G131" s="1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75" t="s">
        <v>609</v>
      </c>
      <c r="B132" s="84" t="s">
        <v>1208</v>
      </c>
      <c r="C132" s="92" t="s">
        <v>1202</v>
      </c>
      <c r="D132" s="29">
        <v>960.0</v>
      </c>
      <c r="E132" s="16"/>
      <c r="F132" s="16"/>
      <c r="G132" s="1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75" t="s">
        <v>169</v>
      </c>
      <c r="B133" s="84" t="s">
        <v>23</v>
      </c>
      <c r="C133" s="92" t="s">
        <v>1202</v>
      </c>
      <c r="D133" s="29">
        <v>575.0</v>
      </c>
      <c r="E133" s="105"/>
      <c r="F133" s="16"/>
      <c r="G133" s="1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75" t="s">
        <v>892</v>
      </c>
      <c r="B134" s="84" t="s">
        <v>1214</v>
      </c>
      <c r="C134" s="92" t="s">
        <v>1202</v>
      </c>
      <c r="D134" s="29">
        <v>11550.0</v>
      </c>
      <c r="E134" s="16"/>
      <c r="F134" s="16"/>
      <c r="G134" s="1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110" t="s">
        <v>892</v>
      </c>
      <c r="B135" s="84" t="s">
        <v>1237</v>
      </c>
      <c r="C135" s="92" t="s">
        <v>1202</v>
      </c>
      <c r="D135" s="29">
        <v>13200.0</v>
      </c>
      <c r="E135" s="16"/>
      <c r="F135" s="16"/>
      <c r="G135" s="1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75" t="s">
        <v>42</v>
      </c>
      <c r="B136" s="84" t="s">
        <v>17</v>
      </c>
      <c r="C136" s="92" t="s">
        <v>1202</v>
      </c>
      <c r="D136" s="22">
        <v>680.0</v>
      </c>
      <c r="E136" s="10">
        <v>600.0</v>
      </c>
      <c r="F136" s="28"/>
      <c r="G136" s="2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75" t="s">
        <v>173</v>
      </c>
      <c r="B137" s="84" t="s">
        <v>17</v>
      </c>
      <c r="C137" s="92" t="s">
        <v>1238</v>
      </c>
      <c r="D137" s="29">
        <v>800.0</v>
      </c>
      <c r="E137" s="16">
        <v>800.0</v>
      </c>
      <c r="F137" s="16"/>
      <c r="G137" s="1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75" t="s">
        <v>894</v>
      </c>
      <c r="B138" s="84" t="s">
        <v>1239</v>
      </c>
      <c r="C138" s="92" t="s">
        <v>1202</v>
      </c>
      <c r="D138" s="29">
        <v>825.0</v>
      </c>
      <c r="E138" s="16"/>
      <c r="F138" s="16"/>
      <c r="G138" s="1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75" t="s">
        <v>896</v>
      </c>
      <c r="B139" s="84" t="s">
        <v>1214</v>
      </c>
      <c r="C139" s="92" t="s">
        <v>1202</v>
      </c>
      <c r="D139" s="29">
        <v>770.0</v>
      </c>
      <c r="E139" s="16"/>
      <c r="F139" s="16"/>
      <c r="G139" s="1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75" t="s">
        <v>611</v>
      </c>
      <c r="B140" s="84" t="s">
        <v>1208</v>
      </c>
      <c r="C140" s="92" t="s">
        <v>1202</v>
      </c>
      <c r="D140" s="29">
        <v>1015.0</v>
      </c>
      <c r="E140" s="105"/>
      <c r="F140" s="16"/>
      <c r="G140" s="1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75" t="s">
        <v>898</v>
      </c>
      <c r="B141" s="84" t="s">
        <v>1240</v>
      </c>
      <c r="C141" s="92" t="s">
        <v>1202</v>
      </c>
      <c r="D141" s="29">
        <v>33000.0</v>
      </c>
      <c r="E141" s="16"/>
      <c r="F141" s="16"/>
      <c r="G141" s="1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75" t="s">
        <v>176</v>
      </c>
      <c r="B142" s="84" t="s">
        <v>1241</v>
      </c>
      <c r="C142" s="92" t="s">
        <v>1202</v>
      </c>
      <c r="D142" s="29">
        <v>1500.0</v>
      </c>
      <c r="E142" s="105"/>
      <c r="F142" s="106"/>
      <c r="G142" s="10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75" t="s">
        <v>83</v>
      </c>
      <c r="B143" s="84" t="s">
        <v>1210</v>
      </c>
      <c r="C143" s="92" t="s">
        <v>1207</v>
      </c>
      <c r="D143" s="29">
        <v>60000.0</v>
      </c>
      <c r="E143" s="16"/>
      <c r="F143" s="16"/>
      <c r="G143" s="1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75" t="s">
        <v>771</v>
      </c>
      <c r="B144" s="84" t="s">
        <v>1205</v>
      </c>
      <c r="C144" s="92" t="s">
        <v>1202</v>
      </c>
      <c r="D144" s="29">
        <v>2350.0</v>
      </c>
      <c r="E144" s="16">
        <v>2000.0</v>
      </c>
      <c r="F144" s="16"/>
      <c r="G144" s="1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75" t="s">
        <v>179</v>
      </c>
      <c r="B145" s="84" t="s">
        <v>17</v>
      </c>
      <c r="C145" s="92" t="s">
        <v>1202</v>
      </c>
      <c r="D145" s="29">
        <v>300.0</v>
      </c>
      <c r="E145" s="16"/>
      <c r="F145" s="16"/>
      <c r="G145" s="1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75" t="s">
        <v>44</v>
      </c>
      <c r="B146" s="84" t="s">
        <v>1206</v>
      </c>
      <c r="C146" s="92" t="s">
        <v>1219</v>
      </c>
      <c r="D146" s="29">
        <v>7300.0</v>
      </c>
      <c r="E146" s="10">
        <v>6500.0</v>
      </c>
      <c r="F146" s="16"/>
      <c r="G146" s="1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75" t="s">
        <v>902</v>
      </c>
      <c r="B147" s="84" t="s">
        <v>1214</v>
      </c>
      <c r="C147" s="92" t="s">
        <v>1242</v>
      </c>
      <c r="D147" s="29"/>
      <c r="E147" s="16"/>
      <c r="F147" s="16"/>
      <c r="G147" s="1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110" t="s">
        <v>902</v>
      </c>
      <c r="B148" s="84" t="s">
        <v>1228</v>
      </c>
      <c r="C148" s="92" t="s">
        <v>1202</v>
      </c>
      <c r="D148" s="29">
        <v>3080.0</v>
      </c>
      <c r="E148" s="16"/>
      <c r="F148" s="16"/>
      <c r="G148" s="1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75" t="s">
        <v>905</v>
      </c>
      <c r="B149" s="84" t="s">
        <v>1230</v>
      </c>
      <c r="C149" s="92" t="s">
        <v>1202</v>
      </c>
      <c r="D149" s="29">
        <v>495.0</v>
      </c>
      <c r="E149" s="16"/>
      <c r="F149" s="16"/>
      <c r="G149" s="1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75" t="s">
        <v>182</v>
      </c>
      <c r="B150" s="84" t="s">
        <v>17</v>
      </c>
      <c r="C150" s="92" t="s">
        <v>1202</v>
      </c>
      <c r="D150" s="29">
        <v>360.0</v>
      </c>
      <c r="E150" s="16"/>
      <c r="F150" s="16"/>
      <c r="G150" s="1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102" t="s">
        <v>1088</v>
      </c>
      <c r="B151" s="84" t="s">
        <v>23</v>
      </c>
      <c r="C151" s="92" t="s">
        <v>1202</v>
      </c>
      <c r="D151" s="29">
        <v>1300.0</v>
      </c>
      <c r="E151" s="16"/>
      <c r="F151" s="16"/>
      <c r="G151" s="1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75" t="s">
        <v>1181</v>
      </c>
      <c r="B152" s="84" t="s">
        <v>1227</v>
      </c>
      <c r="C152" s="92" t="s">
        <v>1202</v>
      </c>
      <c r="D152" s="29">
        <v>3375.0</v>
      </c>
      <c r="E152" s="16"/>
      <c r="F152" s="16"/>
      <c r="G152" s="1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75" t="s">
        <v>909</v>
      </c>
      <c r="B153" s="84" t="s">
        <v>1205</v>
      </c>
      <c r="C153" s="92" t="s">
        <v>1202</v>
      </c>
      <c r="D153" s="29">
        <v>4110.0</v>
      </c>
      <c r="E153" s="16">
        <v>3500.0</v>
      </c>
      <c r="F153" s="16"/>
      <c r="G153" s="1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75" t="s">
        <v>909</v>
      </c>
      <c r="B154" s="84" t="s">
        <v>23</v>
      </c>
      <c r="C154" s="92" t="s">
        <v>1202</v>
      </c>
      <c r="D154" s="29">
        <v>8225.0</v>
      </c>
      <c r="E154" s="16">
        <v>7000.0</v>
      </c>
      <c r="F154" s="16"/>
      <c r="G154" s="1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75" t="s">
        <v>1153</v>
      </c>
      <c r="B155" s="84" t="s">
        <v>23</v>
      </c>
      <c r="C155" s="92" t="s">
        <v>1202</v>
      </c>
      <c r="D155" s="29">
        <v>35500.0</v>
      </c>
      <c r="E155" s="16"/>
      <c r="F155" s="16"/>
      <c r="G155" s="1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75" t="s">
        <v>1153</v>
      </c>
      <c r="B156" s="84" t="s">
        <v>1205</v>
      </c>
      <c r="C156" s="92" t="s">
        <v>1202</v>
      </c>
      <c r="D156" s="29">
        <v>10700.0</v>
      </c>
      <c r="E156" s="16"/>
      <c r="F156" s="16"/>
      <c r="G156" s="1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75" t="s">
        <v>911</v>
      </c>
      <c r="B157" s="84" t="s">
        <v>1243</v>
      </c>
      <c r="C157" s="92" t="s">
        <v>1202</v>
      </c>
      <c r="D157" s="29">
        <v>12650.0</v>
      </c>
      <c r="E157" s="16"/>
      <c r="F157" s="16"/>
      <c r="G157" s="1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75" t="s">
        <v>459</v>
      </c>
      <c r="B158" s="84" t="s">
        <v>1208</v>
      </c>
      <c r="C158" s="92" t="s">
        <v>1202</v>
      </c>
      <c r="D158" s="29">
        <v>1650.0</v>
      </c>
      <c r="E158" s="16"/>
      <c r="F158" s="16"/>
      <c r="G158" s="1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75" t="s">
        <v>913</v>
      </c>
      <c r="B159" s="84" t="s">
        <v>17</v>
      </c>
      <c r="C159" s="92" t="s">
        <v>1202</v>
      </c>
      <c r="D159" s="29"/>
      <c r="E159" s="16"/>
      <c r="F159" s="16"/>
      <c r="G159" s="1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110" t="s">
        <v>915</v>
      </c>
      <c r="B160" s="84" t="s">
        <v>1228</v>
      </c>
      <c r="C160" s="92" t="s">
        <v>1202</v>
      </c>
      <c r="D160" s="29">
        <v>1870.0</v>
      </c>
      <c r="E160" s="16"/>
      <c r="F160" s="16"/>
      <c r="G160" s="1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75" t="s">
        <v>917</v>
      </c>
      <c r="B161" s="84" t="s">
        <v>1244</v>
      </c>
      <c r="C161" s="92" t="s">
        <v>1202</v>
      </c>
      <c r="D161" s="29">
        <v>21450.0</v>
      </c>
      <c r="E161" s="16"/>
      <c r="F161" s="16"/>
      <c r="G161" s="1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75" t="s">
        <v>461</v>
      </c>
      <c r="B162" s="84" t="s">
        <v>1208</v>
      </c>
      <c r="C162" s="92"/>
      <c r="D162" s="29">
        <v>1035.0</v>
      </c>
      <c r="E162" s="16"/>
      <c r="F162" s="16"/>
      <c r="G162" s="1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75" t="s">
        <v>463</v>
      </c>
      <c r="B163" s="84" t="s">
        <v>1208</v>
      </c>
      <c r="C163" s="92" t="s">
        <v>1202</v>
      </c>
      <c r="D163" s="29">
        <v>1100.0</v>
      </c>
      <c r="E163" s="16"/>
      <c r="F163" s="16"/>
      <c r="G163" s="1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75" t="s">
        <v>919</v>
      </c>
      <c r="B164" s="84" t="s">
        <v>1210</v>
      </c>
      <c r="C164" s="92" t="s">
        <v>1202</v>
      </c>
      <c r="D164" s="29">
        <v>5520.0</v>
      </c>
      <c r="E164" s="16">
        <v>5250.0</v>
      </c>
      <c r="F164" s="16"/>
      <c r="G164" s="1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75" t="s">
        <v>45</v>
      </c>
      <c r="B165" s="84" t="s">
        <v>17</v>
      </c>
      <c r="C165" s="92" t="s">
        <v>1202</v>
      </c>
      <c r="D165" s="29">
        <v>1100.0</v>
      </c>
      <c r="E165" s="105"/>
      <c r="F165" s="106"/>
      <c r="G165" s="10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75" t="s">
        <v>45</v>
      </c>
      <c r="B166" s="84" t="s">
        <v>1206</v>
      </c>
      <c r="C166" s="92" t="s">
        <v>1202</v>
      </c>
      <c r="D166" s="29">
        <v>4200.0</v>
      </c>
      <c r="E166" s="16"/>
      <c r="F166" s="16"/>
      <c r="G166" s="1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75" t="s">
        <v>1102</v>
      </c>
      <c r="B167" s="84" t="s">
        <v>17</v>
      </c>
      <c r="C167" s="92"/>
      <c r="D167" s="29" t="s">
        <v>1229</v>
      </c>
      <c r="E167" s="16"/>
      <c r="F167" s="16"/>
      <c r="G167" s="1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75" t="s">
        <v>465</v>
      </c>
      <c r="B168" s="84" t="s">
        <v>1208</v>
      </c>
      <c r="C168" s="92"/>
      <c r="D168" s="29">
        <v>2600.0</v>
      </c>
      <c r="E168" s="16"/>
      <c r="F168" s="16"/>
      <c r="G168" s="1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75" t="s">
        <v>922</v>
      </c>
      <c r="B169" s="84" t="s">
        <v>17</v>
      </c>
      <c r="C169" s="92" t="s">
        <v>1202</v>
      </c>
      <c r="D169" s="29">
        <v>11000.0</v>
      </c>
      <c r="E169" s="16"/>
      <c r="F169" s="16"/>
      <c r="G169" s="1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75" t="s">
        <v>922</v>
      </c>
      <c r="B170" s="84" t="s">
        <v>17</v>
      </c>
      <c r="C170" s="92" t="s">
        <v>1233</v>
      </c>
      <c r="D170" s="29">
        <v>33450.0</v>
      </c>
      <c r="E170" s="16">
        <v>28500.0</v>
      </c>
      <c r="F170" s="16"/>
      <c r="G170" s="1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75" t="s">
        <v>522</v>
      </c>
      <c r="B171" s="84" t="s">
        <v>23</v>
      </c>
      <c r="C171" s="92" t="s">
        <v>1207</v>
      </c>
      <c r="D171" s="29">
        <v>620.0</v>
      </c>
      <c r="E171" s="16"/>
      <c r="F171" s="16"/>
      <c r="G171" s="1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75" t="s">
        <v>522</v>
      </c>
      <c r="B172" s="84" t="s">
        <v>1205</v>
      </c>
      <c r="C172" s="92" t="s">
        <v>1207</v>
      </c>
      <c r="D172" s="29">
        <v>1000.0</v>
      </c>
      <c r="E172" s="16"/>
      <c r="F172" s="16"/>
      <c r="G172" s="1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75" t="s">
        <v>46</v>
      </c>
      <c r="B173" s="84" t="s">
        <v>23</v>
      </c>
      <c r="C173" s="92" t="s">
        <v>1202</v>
      </c>
      <c r="D173" s="29">
        <v>345.0</v>
      </c>
      <c r="E173" s="105"/>
      <c r="F173" s="106"/>
      <c r="G173" s="10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75" t="s">
        <v>924</v>
      </c>
      <c r="B174" s="84" t="s">
        <v>1205</v>
      </c>
      <c r="C174" s="92" t="s">
        <v>1202</v>
      </c>
      <c r="D174" s="29">
        <v>19250.0</v>
      </c>
      <c r="E174" s="16"/>
      <c r="F174" s="16"/>
      <c r="G174" s="1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75" t="s">
        <v>524</v>
      </c>
      <c r="B175" s="84" t="s">
        <v>1210</v>
      </c>
      <c r="C175" s="92" t="s">
        <v>1245</v>
      </c>
      <c r="D175" s="29">
        <v>6460.0</v>
      </c>
      <c r="E175" s="16">
        <v>5500.0</v>
      </c>
      <c r="F175" s="16"/>
      <c r="G175" s="1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75" t="s">
        <v>1175</v>
      </c>
      <c r="B176" s="84" t="s">
        <v>1216</v>
      </c>
      <c r="C176" s="92" t="s">
        <v>1202</v>
      </c>
      <c r="D176" s="29">
        <v>2250.0</v>
      </c>
      <c r="E176" s="16"/>
      <c r="F176" s="16"/>
      <c r="G176" s="1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75" t="s">
        <v>926</v>
      </c>
      <c r="B177" s="84" t="s">
        <v>1206</v>
      </c>
      <c r="C177" s="92" t="s">
        <v>1202</v>
      </c>
      <c r="D177" s="29">
        <v>5700.0</v>
      </c>
      <c r="E177" s="16"/>
      <c r="F177" s="16"/>
      <c r="G177" s="1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75" t="s">
        <v>189</v>
      </c>
      <c r="B178" s="84" t="s">
        <v>1210</v>
      </c>
      <c r="C178" s="92" t="s">
        <v>1202</v>
      </c>
      <c r="D178" s="29">
        <v>1150.0</v>
      </c>
      <c r="E178" s="105"/>
      <c r="F178" s="106"/>
      <c r="G178" s="10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75" t="s">
        <v>189</v>
      </c>
      <c r="B179" s="84" t="s">
        <v>1206</v>
      </c>
      <c r="C179" s="92" t="s">
        <v>1202</v>
      </c>
      <c r="D179" s="29">
        <v>1800.0</v>
      </c>
      <c r="E179" s="105"/>
      <c r="F179" s="16"/>
      <c r="G179" s="1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75" t="s">
        <v>613</v>
      </c>
      <c r="B180" s="84" t="s">
        <v>1208</v>
      </c>
      <c r="C180" s="92" t="s">
        <v>1202</v>
      </c>
      <c r="D180" s="29">
        <v>960.0</v>
      </c>
      <c r="E180" s="16"/>
      <c r="F180" s="16"/>
      <c r="G180" s="1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110" t="s">
        <v>928</v>
      </c>
      <c r="B181" s="84" t="s">
        <v>1228</v>
      </c>
      <c r="C181" s="92" t="s">
        <v>1202</v>
      </c>
      <c r="D181" s="29">
        <v>1760.0</v>
      </c>
      <c r="E181" s="16"/>
      <c r="F181" s="16"/>
      <c r="G181" s="1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75" t="s">
        <v>615</v>
      </c>
      <c r="B182" s="84" t="s">
        <v>1208</v>
      </c>
      <c r="C182" s="92" t="s">
        <v>1202</v>
      </c>
      <c r="D182" s="29">
        <v>960.0</v>
      </c>
      <c r="E182" s="16"/>
      <c r="F182" s="16"/>
      <c r="G182" s="1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102" t="s">
        <v>738</v>
      </c>
      <c r="B183" s="84" t="s">
        <v>23</v>
      </c>
      <c r="C183" s="92" t="s">
        <v>1207</v>
      </c>
      <c r="D183" s="29">
        <v>7000.0</v>
      </c>
      <c r="E183" s="16"/>
      <c r="F183" s="16"/>
      <c r="G183" s="1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75" t="s">
        <v>467</v>
      </c>
      <c r="B184" s="84" t="s">
        <v>1208</v>
      </c>
      <c r="C184" s="92"/>
      <c r="D184" s="29">
        <v>750.0</v>
      </c>
      <c r="E184" s="16"/>
      <c r="F184" s="16"/>
      <c r="G184" s="1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75" t="s">
        <v>412</v>
      </c>
      <c r="B185" s="84" t="s">
        <v>23</v>
      </c>
      <c r="C185" s="92" t="s">
        <v>1202</v>
      </c>
      <c r="D185" s="29">
        <v>3750.0</v>
      </c>
      <c r="E185" s="16"/>
      <c r="F185" s="16"/>
      <c r="G185" s="1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75" t="s">
        <v>412</v>
      </c>
      <c r="B186" s="84" t="s">
        <v>1205</v>
      </c>
      <c r="C186" s="92" t="s">
        <v>1202</v>
      </c>
      <c r="D186" s="29">
        <v>2250.0</v>
      </c>
      <c r="E186" s="16"/>
      <c r="F186" s="16"/>
      <c r="G186" s="1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75" t="s">
        <v>47</v>
      </c>
      <c r="B187" s="84" t="s">
        <v>17</v>
      </c>
      <c r="C187" s="92" t="s">
        <v>1202</v>
      </c>
      <c r="D187" s="29">
        <v>8900.0</v>
      </c>
      <c r="E187" s="16"/>
      <c r="F187" s="16"/>
      <c r="G187" s="1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75" t="s">
        <v>48</v>
      </c>
      <c r="B188" s="84" t="s">
        <v>17</v>
      </c>
      <c r="C188" s="92" t="s">
        <v>1202</v>
      </c>
      <c r="D188" s="29">
        <v>2750.0</v>
      </c>
      <c r="E188" s="10">
        <v>1750.0</v>
      </c>
      <c r="F188" s="28"/>
      <c r="G188" s="2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75" t="s">
        <v>197</v>
      </c>
      <c r="B189" s="84" t="s">
        <v>17</v>
      </c>
      <c r="C189" s="92" t="s">
        <v>1202</v>
      </c>
      <c r="D189" s="29">
        <v>520.0</v>
      </c>
      <c r="E189" s="10">
        <v>400.0</v>
      </c>
      <c r="F189" s="10" t="s">
        <v>1246</v>
      </c>
      <c r="G189" s="2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75" t="s">
        <v>617</v>
      </c>
      <c r="B190" s="84" t="s">
        <v>1208</v>
      </c>
      <c r="C190" s="92" t="s">
        <v>1202</v>
      </c>
      <c r="D190" s="29">
        <v>1575.0</v>
      </c>
      <c r="E190" s="16"/>
      <c r="F190" s="16"/>
      <c r="G190" s="1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75" t="s">
        <v>414</v>
      </c>
      <c r="B191" s="84" t="s">
        <v>1205</v>
      </c>
      <c r="C191" s="92" t="s">
        <v>1202</v>
      </c>
      <c r="D191" s="29">
        <v>3650.0</v>
      </c>
      <c r="E191" s="16">
        <v>3250.0</v>
      </c>
      <c r="F191" s="16"/>
      <c r="G191" s="1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75" t="s">
        <v>932</v>
      </c>
      <c r="B192" s="84" t="s">
        <v>1214</v>
      </c>
      <c r="C192" s="92" t="s">
        <v>1202</v>
      </c>
      <c r="D192" s="29">
        <v>495.0</v>
      </c>
      <c r="E192" s="16"/>
      <c r="F192" s="16"/>
      <c r="G192" s="1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75" t="s">
        <v>934</v>
      </c>
      <c r="B193" s="84" t="s">
        <v>17</v>
      </c>
      <c r="C193" s="92" t="s">
        <v>1202</v>
      </c>
      <c r="D193" s="29">
        <v>5800.0</v>
      </c>
      <c r="E193" s="16"/>
      <c r="F193" s="16"/>
      <c r="G193" s="1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75" t="s">
        <v>50</v>
      </c>
      <c r="B194" s="84" t="s">
        <v>23</v>
      </c>
      <c r="C194" s="92" t="s">
        <v>1202</v>
      </c>
      <c r="D194" s="29">
        <v>2200.0</v>
      </c>
      <c r="E194" s="105"/>
      <c r="F194" s="106"/>
      <c r="G194" s="10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75" t="s">
        <v>51</v>
      </c>
      <c r="B195" s="84" t="s">
        <v>23</v>
      </c>
      <c r="C195" s="92" t="s">
        <v>1202</v>
      </c>
      <c r="D195" s="22">
        <v>3500.0</v>
      </c>
      <c r="E195" s="10">
        <v>2500.0</v>
      </c>
      <c r="F195" s="28"/>
      <c r="G195" s="2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75" t="s">
        <v>573</v>
      </c>
      <c r="B196" s="84" t="s">
        <v>23</v>
      </c>
      <c r="C196" s="92" t="s">
        <v>1202</v>
      </c>
      <c r="D196" s="29">
        <v>2815.0</v>
      </c>
      <c r="E196" s="16"/>
      <c r="F196" s="16"/>
      <c r="G196" s="1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75" t="s">
        <v>936</v>
      </c>
      <c r="B197" s="84" t="s">
        <v>1227</v>
      </c>
      <c r="C197" s="92" t="s">
        <v>1202</v>
      </c>
      <c r="D197" s="29">
        <v>2815.0</v>
      </c>
      <c r="E197" s="16"/>
      <c r="F197" s="16"/>
      <c r="G197" s="1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75" t="s">
        <v>469</v>
      </c>
      <c r="B198" s="84" t="s">
        <v>23</v>
      </c>
      <c r="C198" s="92" t="s">
        <v>1202</v>
      </c>
      <c r="D198" s="29">
        <v>1650.0</v>
      </c>
      <c r="E198" s="16"/>
      <c r="F198" s="16"/>
      <c r="G198" s="1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102" t="s">
        <v>691</v>
      </c>
      <c r="B199" s="84" t="s">
        <v>23</v>
      </c>
      <c r="C199" s="92" t="s">
        <v>1202</v>
      </c>
      <c r="D199" s="29">
        <v>2940.0</v>
      </c>
      <c r="E199" s="16">
        <v>2500.0</v>
      </c>
      <c r="F199" s="16"/>
      <c r="G199" s="1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102" t="s">
        <v>691</v>
      </c>
      <c r="B200" s="84" t="s">
        <v>1205</v>
      </c>
      <c r="C200" s="92" t="s">
        <v>1202</v>
      </c>
      <c r="D200" s="29">
        <v>1760.0</v>
      </c>
      <c r="E200" s="16">
        <v>1500.0</v>
      </c>
      <c r="F200" s="16"/>
      <c r="G200" s="1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75" t="s">
        <v>1104</v>
      </c>
      <c r="B201" s="84" t="s">
        <v>17</v>
      </c>
      <c r="C201" s="92"/>
      <c r="D201" s="29" t="s">
        <v>1229</v>
      </c>
      <c r="E201" s="16"/>
      <c r="F201" s="16"/>
      <c r="G201" s="1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75" t="s">
        <v>206</v>
      </c>
      <c r="B202" s="84" t="s">
        <v>17</v>
      </c>
      <c r="C202" s="92" t="s">
        <v>1202</v>
      </c>
      <c r="D202" s="29">
        <v>575.0</v>
      </c>
      <c r="E202" s="16">
        <v>500.0</v>
      </c>
      <c r="F202" s="16"/>
      <c r="G202" s="1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75" t="s">
        <v>773</v>
      </c>
      <c r="B203" s="84" t="s">
        <v>1205</v>
      </c>
      <c r="C203" s="92" t="s">
        <v>1202</v>
      </c>
      <c r="D203" s="29">
        <v>4400.0</v>
      </c>
      <c r="E203" s="16"/>
      <c r="F203" s="16"/>
      <c r="G203" s="1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75" t="s">
        <v>938</v>
      </c>
      <c r="B204" s="84" t="s">
        <v>1214</v>
      </c>
      <c r="C204" s="92" t="s">
        <v>1202</v>
      </c>
      <c r="D204" s="29">
        <v>550.0</v>
      </c>
      <c r="E204" s="16"/>
      <c r="F204" s="16"/>
      <c r="G204" s="1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75" t="s">
        <v>1106</v>
      </c>
      <c r="B205" s="84" t="s">
        <v>17</v>
      </c>
      <c r="C205" s="92"/>
      <c r="D205" s="29" t="s">
        <v>1229</v>
      </c>
      <c r="E205" s="16"/>
      <c r="F205" s="16"/>
      <c r="G205" s="1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75" t="s">
        <v>619</v>
      </c>
      <c r="B206" s="84" t="s">
        <v>1208</v>
      </c>
      <c r="C206" s="92" t="s">
        <v>1202</v>
      </c>
      <c r="D206" s="29">
        <v>1240.0</v>
      </c>
      <c r="E206" s="16"/>
      <c r="F206" s="16"/>
      <c r="G206" s="1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75" t="s">
        <v>208</v>
      </c>
      <c r="B207" s="84" t="s">
        <v>17</v>
      </c>
      <c r="C207" s="92" t="s">
        <v>1202</v>
      </c>
      <c r="D207" s="29">
        <v>400.0</v>
      </c>
      <c r="E207" s="10">
        <v>350.0</v>
      </c>
      <c r="F207" s="28"/>
      <c r="G207" s="2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75" t="s">
        <v>210</v>
      </c>
      <c r="B208" s="84" t="s">
        <v>17</v>
      </c>
      <c r="C208" s="92" t="s">
        <v>1202</v>
      </c>
      <c r="D208" s="29">
        <v>575.0</v>
      </c>
      <c r="E208" s="16">
        <v>500.0</v>
      </c>
      <c r="F208" s="16"/>
      <c r="G208" s="1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102" t="s">
        <v>693</v>
      </c>
      <c r="B209" s="84" t="s">
        <v>1205</v>
      </c>
      <c r="C209" s="92" t="s">
        <v>1202</v>
      </c>
      <c r="D209" s="29" t="s">
        <v>1247</v>
      </c>
      <c r="E209" s="16"/>
      <c r="F209" s="16"/>
      <c r="G209" s="1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75" t="s">
        <v>798</v>
      </c>
      <c r="B210" s="84" t="s">
        <v>1214</v>
      </c>
      <c r="C210" s="92" t="s">
        <v>1202</v>
      </c>
      <c r="D210" s="29">
        <v>3300.0</v>
      </c>
      <c r="E210" s="16"/>
      <c r="F210" s="16"/>
      <c r="G210" s="1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110" t="s">
        <v>798</v>
      </c>
      <c r="B211" s="84" t="s">
        <v>1228</v>
      </c>
      <c r="C211" s="92" t="s">
        <v>1202</v>
      </c>
      <c r="D211" s="29">
        <v>3300.0</v>
      </c>
      <c r="E211" s="16"/>
      <c r="F211" s="16"/>
      <c r="G211" s="1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75" t="s">
        <v>674</v>
      </c>
      <c r="B212" s="84" t="s">
        <v>23</v>
      </c>
      <c r="C212" s="92" t="s">
        <v>1202</v>
      </c>
      <c r="D212" s="29">
        <v>7875.0</v>
      </c>
      <c r="E212" s="16"/>
      <c r="F212" s="16"/>
      <c r="G212" s="1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75" t="s">
        <v>674</v>
      </c>
      <c r="B213" s="84" t="s">
        <v>1205</v>
      </c>
      <c r="C213" s="92" t="s">
        <v>1202</v>
      </c>
      <c r="D213" s="29">
        <v>2250.0</v>
      </c>
      <c r="E213" s="16"/>
      <c r="F213" s="16"/>
      <c r="G213" s="1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75" t="s">
        <v>526</v>
      </c>
      <c r="B214" s="84" t="s">
        <v>23</v>
      </c>
      <c r="C214" s="92" t="s">
        <v>1207</v>
      </c>
      <c r="D214" s="29">
        <v>3715.0</v>
      </c>
      <c r="E214" s="16"/>
      <c r="F214" s="16"/>
      <c r="G214" s="1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110" t="s">
        <v>511</v>
      </c>
      <c r="B215" s="84" t="s">
        <v>1228</v>
      </c>
      <c r="C215" s="92" t="s">
        <v>1202</v>
      </c>
      <c r="D215" s="29">
        <v>3850.0</v>
      </c>
      <c r="E215" s="16"/>
      <c r="F215" s="16"/>
      <c r="G215" s="1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75" t="s">
        <v>555</v>
      </c>
      <c r="B216" s="84" t="s">
        <v>1216</v>
      </c>
      <c r="C216" s="92" t="s">
        <v>1202</v>
      </c>
      <c r="D216" s="29">
        <v>2000.0</v>
      </c>
      <c r="E216" s="16"/>
      <c r="F216" s="16"/>
      <c r="G216" s="1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75" t="s">
        <v>943</v>
      </c>
      <c r="B217" s="84" t="s">
        <v>17</v>
      </c>
      <c r="C217" s="92" t="s">
        <v>1202</v>
      </c>
      <c r="D217" s="29">
        <v>11000.0</v>
      </c>
      <c r="E217" s="16"/>
      <c r="F217" s="16"/>
      <c r="G217" s="1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75" t="s">
        <v>945</v>
      </c>
      <c r="B218" s="84" t="s">
        <v>1206</v>
      </c>
      <c r="C218" s="92" t="s">
        <v>1202</v>
      </c>
      <c r="D218" s="29">
        <v>16000.0</v>
      </c>
      <c r="E218" s="16"/>
      <c r="F218" s="16"/>
      <c r="G218" s="1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75" t="s">
        <v>947</v>
      </c>
      <c r="B219" s="84" t="s">
        <v>1206</v>
      </c>
      <c r="C219" s="92" t="s">
        <v>1202</v>
      </c>
      <c r="D219" s="29">
        <v>20000.0</v>
      </c>
      <c r="E219" s="16"/>
      <c r="F219" s="16"/>
      <c r="G219" s="1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75" t="s">
        <v>621</v>
      </c>
      <c r="B220" s="84" t="s">
        <v>1208</v>
      </c>
      <c r="C220" s="92" t="s">
        <v>1202</v>
      </c>
      <c r="D220" s="29">
        <v>960.0</v>
      </c>
      <c r="E220" s="16"/>
      <c r="F220" s="16"/>
      <c r="G220" s="1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75" t="s">
        <v>212</v>
      </c>
      <c r="B221" s="84" t="s">
        <v>1210</v>
      </c>
      <c r="C221" s="92" t="s">
        <v>1202</v>
      </c>
      <c r="D221" s="29">
        <v>575.0</v>
      </c>
      <c r="E221" s="10">
        <v>500.0</v>
      </c>
      <c r="F221" s="28"/>
      <c r="G221" s="2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75" t="s">
        <v>550</v>
      </c>
      <c r="B222" s="84" t="s">
        <v>1216</v>
      </c>
      <c r="C222" s="92" t="s">
        <v>1202</v>
      </c>
      <c r="D222" s="29">
        <v>2250.0</v>
      </c>
      <c r="E222" s="16"/>
      <c r="F222" s="16"/>
      <c r="G222" s="1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75" t="s">
        <v>949</v>
      </c>
      <c r="B223" s="84" t="s">
        <v>23</v>
      </c>
      <c r="C223" s="92" t="s">
        <v>1202</v>
      </c>
      <c r="D223" s="29">
        <v>15400.0</v>
      </c>
      <c r="E223" s="16"/>
      <c r="F223" s="16"/>
      <c r="G223" s="1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75" t="s">
        <v>52</v>
      </c>
      <c r="B224" s="84" t="s">
        <v>1210</v>
      </c>
      <c r="C224" s="92" t="s">
        <v>1202</v>
      </c>
      <c r="D224" s="29">
        <v>1500.0</v>
      </c>
      <c r="E224" s="10">
        <v>1250.0</v>
      </c>
      <c r="F224" s="28"/>
      <c r="G224" s="2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75" t="s">
        <v>52</v>
      </c>
      <c r="B225" s="84" t="s">
        <v>1218</v>
      </c>
      <c r="C225" s="92" t="s">
        <v>1233</v>
      </c>
      <c r="D225" s="29">
        <v>6325.0</v>
      </c>
      <c r="E225" s="105"/>
      <c r="F225" s="16"/>
      <c r="G225" s="1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102" t="s">
        <v>742</v>
      </c>
      <c r="B226" s="84" t="s">
        <v>1205</v>
      </c>
      <c r="C226" s="92" t="s">
        <v>1207</v>
      </c>
      <c r="D226" s="29">
        <v>3500.0</v>
      </c>
      <c r="E226" s="16"/>
      <c r="F226" s="16"/>
      <c r="G226" s="1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102" t="s">
        <v>742</v>
      </c>
      <c r="B227" s="84" t="s">
        <v>23</v>
      </c>
      <c r="C227" s="92" t="s">
        <v>1207</v>
      </c>
      <c r="D227" s="29">
        <v>5000.0</v>
      </c>
      <c r="E227" s="16"/>
      <c r="F227" s="16"/>
      <c r="G227" s="1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75" t="s">
        <v>801</v>
      </c>
      <c r="B228" s="84" t="s">
        <v>1248</v>
      </c>
      <c r="C228" s="92" t="s">
        <v>1202</v>
      </c>
      <c r="D228" s="29">
        <v>1760.0</v>
      </c>
      <c r="E228" s="16">
        <v>1500.0</v>
      </c>
      <c r="F228" s="16"/>
      <c r="G228" s="1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75" t="s">
        <v>801</v>
      </c>
      <c r="B229" s="84" t="s">
        <v>17</v>
      </c>
      <c r="C229" s="92" t="s">
        <v>1202</v>
      </c>
      <c r="D229" s="29">
        <v>760.0</v>
      </c>
      <c r="E229" s="16">
        <v>650.0</v>
      </c>
      <c r="F229" s="16"/>
      <c r="G229" s="1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75" t="s">
        <v>801</v>
      </c>
      <c r="B230" s="84" t="s">
        <v>17</v>
      </c>
      <c r="C230" s="92" t="s">
        <v>1202</v>
      </c>
      <c r="D230" s="29">
        <v>470.0</v>
      </c>
      <c r="E230" s="16">
        <v>400.0</v>
      </c>
      <c r="F230" s="16"/>
      <c r="G230" s="1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75" t="s">
        <v>471</v>
      </c>
      <c r="B231" s="84" t="s">
        <v>23</v>
      </c>
      <c r="C231" s="92" t="s">
        <v>1202</v>
      </c>
      <c r="D231" s="29">
        <v>2200.0</v>
      </c>
      <c r="E231" s="16"/>
      <c r="F231" s="16"/>
      <c r="G231" s="1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75" t="s">
        <v>528</v>
      </c>
      <c r="B232" s="84" t="s">
        <v>1205</v>
      </c>
      <c r="C232" s="92" t="s">
        <v>1207</v>
      </c>
      <c r="D232" s="29">
        <v>2925.0</v>
      </c>
      <c r="E232" s="16"/>
      <c r="F232" s="16"/>
      <c r="G232" s="1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75" t="s">
        <v>528</v>
      </c>
      <c r="B233" s="84" t="s">
        <v>23</v>
      </c>
      <c r="C233" s="92" t="s">
        <v>1207</v>
      </c>
      <c r="D233" s="29">
        <v>5625.0</v>
      </c>
      <c r="E233" s="16"/>
      <c r="F233" s="16"/>
      <c r="G233" s="1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75" t="s">
        <v>217</v>
      </c>
      <c r="B234" s="84" t="s">
        <v>17</v>
      </c>
      <c r="C234" s="92" t="s">
        <v>1202</v>
      </c>
      <c r="D234" s="29">
        <v>1270.0</v>
      </c>
      <c r="E234" s="16">
        <v>1000.0</v>
      </c>
      <c r="F234" s="16"/>
      <c r="G234" s="1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75" t="s">
        <v>54</v>
      </c>
      <c r="B235" s="84" t="s">
        <v>17</v>
      </c>
      <c r="C235" s="92" t="s">
        <v>1207</v>
      </c>
      <c r="D235" s="29">
        <v>6325.0</v>
      </c>
      <c r="E235" s="105"/>
      <c r="F235" s="106"/>
      <c r="G235" s="10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75" t="s">
        <v>416</v>
      </c>
      <c r="B236" s="84" t="s">
        <v>23</v>
      </c>
      <c r="C236" s="92" t="s">
        <v>1202</v>
      </c>
      <c r="D236" s="29">
        <v>1170.0</v>
      </c>
      <c r="E236" s="16">
        <v>1000.0</v>
      </c>
      <c r="F236" s="16"/>
      <c r="G236" s="1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75" t="s">
        <v>416</v>
      </c>
      <c r="B237" s="84" t="s">
        <v>23</v>
      </c>
      <c r="C237" s="92" t="s">
        <v>1202</v>
      </c>
      <c r="D237" s="29">
        <v>785.0</v>
      </c>
      <c r="E237" s="16">
        <v>700.0</v>
      </c>
      <c r="F237" s="16"/>
      <c r="G237" s="1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75" t="s">
        <v>623</v>
      </c>
      <c r="B238" s="84" t="s">
        <v>1208</v>
      </c>
      <c r="C238" s="92" t="s">
        <v>1202</v>
      </c>
      <c r="D238" s="29">
        <v>960.0</v>
      </c>
      <c r="E238" s="16"/>
      <c r="F238" s="16"/>
      <c r="G238" s="1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75" t="s">
        <v>220</v>
      </c>
      <c r="B239" s="84" t="s">
        <v>17</v>
      </c>
      <c r="C239" s="92" t="s">
        <v>1202</v>
      </c>
      <c r="D239" s="29">
        <v>575.0</v>
      </c>
      <c r="E239" s="105"/>
      <c r="F239" s="106"/>
      <c r="G239" s="10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75" t="s">
        <v>1108</v>
      </c>
      <c r="B240" s="84" t="s">
        <v>17</v>
      </c>
      <c r="C240" s="92"/>
      <c r="D240" s="29" t="s">
        <v>1229</v>
      </c>
      <c r="E240" s="16"/>
      <c r="F240" s="16"/>
      <c r="G240" s="1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75" t="s">
        <v>951</v>
      </c>
      <c r="B241" s="84" t="s">
        <v>1206</v>
      </c>
      <c r="C241" s="92" t="s">
        <v>1202</v>
      </c>
      <c r="D241" s="29">
        <v>9900.0</v>
      </c>
      <c r="E241" s="16"/>
      <c r="F241" s="16"/>
      <c r="G241" s="1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75" t="s">
        <v>803</v>
      </c>
      <c r="B242" s="84" t="s">
        <v>23</v>
      </c>
      <c r="C242" s="92" t="s">
        <v>1202</v>
      </c>
      <c r="D242" s="29" t="s">
        <v>1211</v>
      </c>
      <c r="E242" s="16"/>
      <c r="F242" s="16"/>
      <c r="G242" s="1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75" t="s">
        <v>418</v>
      </c>
      <c r="B243" s="84" t="s">
        <v>17</v>
      </c>
      <c r="C243" s="92" t="s">
        <v>1202</v>
      </c>
      <c r="D243" s="29">
        <v>800.0</v>
      </c>
      <c r="E243" s="16">
        <v>700.0</v>
      </c>
      <c r="F243" s="16"/>
      <c r="G243" s="1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75" t="s">
        <v>224</v>
      </c>
      <c r="B244" s="84" t="s">
        <v>17</v>
      </c>
      <c r="C244" s="92" t="s">
        <v>1202</v>
      </c>
      <c r="D244" s="29">
        <v>1440.0</v>
      </c>
      <c r="E244" s="105"/>
      <c r="F244" s="106"/>
      <c r="G244" s="10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75" t="s">
        <v>420</v>
      </c>
      <c r="B245" s="84" t="s">
        <v>1205</v>
      </c>
      <c r="C245" s="92" t="s">
        <v>1249</v>
      </c>
      <c r="D245" s="29">
        <v>6750.0</v>
      </c>
      <c r="E245" s="16">
        <v>6000.0</v>
      </c>
      <c r="F245" s="16"/>
      <c r="G245" s="1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75" t="s">
        <v>420</v>
      </c>
      <c r="B246" s="84" t="s">
        <v>1205</v>
      </c>
      <c r="C246" s="92" t="s">
        <v>1250</v>
      </c>
      <c r="D246" s="29">
        <v>13000.0</v>
      </c>
      <c r="E246" s="16">
        <v>11500.0</v>
      </c>
      <c r="F246" s="16"/>
      <c r="G246" s="1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75" t="s">
        <v>420</v>
      </c>
      <c r="B247" s="84" t="s">
        <v>23</v>
      </c>
      <c r="C247" s="92" t="s">
        <v>1202</v>
      </c>
      <c r="D247" s="29">
        <v>19125.0</v>
      </c>
      <c r="E247" s="16">
        <v>17000.0</v>
      </c>
      <c r="F247" s="16"/>
      <c r="G247" s="1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75" t="s">
        <v>420</v>
      </c>
      <c r="B248" s="84" t="s">
        <v>17</v>
      </c>
      <c r="C248" s="92" t="s">
        <v>1202</v>
      </c>
      <c r="D248" s="29">
        <v>1380.0</v>
      </c>
      <c r="E248" s="16">
        <v>1200.0</v>
      </c>
      <c r="F248" s="16"/>
      <c r="G248" s="1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75" t="s">
        <v>420</v>
      </c>
      <c r="B249" s="84" t="s">
        <v>1251</v>
      </c>
      <c r="C249" s="92" t="s">
        <v>1202</v>
      </c>
      <c r="D249" s="29">
        <v>1350.0</v>
      </c>
      <c r="E249" s="16">
        <v>1200.0</v>
      </c>
      <c r="F249" s="16"/>
      <c r="G249" s="1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75" t="s">
        <v>420</v>
      </c>
      <c r="B250" s="84" t="s">
        <v>1252</v>
      </c>
      <c r="C250" s="92" t="s">
        <v>1202</v>
      </c>
      <c r="D250" s="29">
        <v>2800.0</v>
      </c>
      <c r="E250" s="16">
        <v>2500.0</v>
      </c>
      <c r="F250" s="16"/>
      <c r="G250" s="1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75" t="s">
        <v>420</v>
      </c>
      <c r="B251" s="84" t="s">
        <v>1208</v>
      </c>
      <c r="C251" s="92" t="s">
        <v>1202</v>
      </c>
      <c r="D251" s="29">
        <v>2800.0</v>
      </c>
      <c r="E251" s="16">
        <v>2500.0</v>
      </c>
      <c r="F251" s="16"/>
      <c r="G251" s="1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75" t="s">
        <v>420</v>
      </c>
      <c r="B252" s="84" t="s">
        <v>1253</v>
      </c>
      <c r="C252" s="92" t="s">
        <v>1202</v>
      </c>
      <c r="D252" s="29">
        <v>22500.0</v>
      </c>
      <c r="E252" s="16">
        <v>20000.0</v>
      </c>
      <c r="F252" s="16"/>
      <c r="G252" s="1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75" t="s">
        <v>226</v>
      </c>
      <c r="B253" s="84" t="s">
        <v>17</v>
      </c>
      <c r="C253" s="92" t="s">
        <v>1202</v>
      </c>
      <c r="D253" s="29">
        <v>1800.0</v>
      </c>
      <c r="E253" s="16">
        <v>1500.0</v>
      </c>
      <c r="F253" s="16"/>
      <c r="G253" s="1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75" t="s">
        <v>625</v>
      </c>
      <c r="B254" s="84" t="s">
        <v>1208</v>
      </c>
      <c r="C254" s="92" t="s">
        <v>1202</v>
      </c>
      <c r="D254" s="29">
        <v>960.0</v>
      </c>
      <c r="E254" s="16"/>
      <c r="F254" s="16"/>
      <c r="G254" s="1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75" t="s">
        <v>55</v>
      </c>
      <c r="B255" s="84" t="s">
        <v>1206</v>
      </c>
      <c r="C255" s="92" t="s">
        <v>1219</v>
      </c>
      <c r="D255" s="29">
        <v>27000.0</v>
      </c>
      <c r="E255" s="16"/>
      <c r="F255" s="16"/>
      <c r="G255" s="1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75" t="s">
        <v>473</v>
      </c>
      <c r="B256" s="84" t="s">
        <v>23</v>
      </c>
      <c r="C256" s="92"/>
      <c r="D256" s="29">
        <v>2875.0</v>
      </c>
      <c r="E256" s="16"/>
      <c r="F256" s="16"/>
      <c r="G256" s="1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75" t="s">
        <v>627</v>
      </c>
      <c r="B257" s="84" t="s">
        <v>1208</v>
      </c>
      <c r="C257" s="92" t="s">
        <v>1202</v>
      </c>
      <c r="D257" s="29">
        <v>960.0</v>
      </c>
      <c r="E257" s="16"/>
      <c r="F257" s="16"/>
      <c r="G257" s="1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75" t="s">
        <v>230</v>
      </c>
      <c r="B258" s="84" t="s">
        <v>17</v>
      </c>
      <c r="C258" s="92" t="s">
        <v>1202</v>
      </c>
      <c r="D258" s="29">
        <v>775.0</v>
      </c>
      <c r="E258" s="16">
        <v>700.0</v>
      </c>
      <c r="F258" s="16"/>
      <c r="G258" s="1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75" t="s">
        <v>232</v>
      </c>
      <c r="B259" s="84" t="s">
        <v>17</v>
      </c>
      <c r="C259" s="92" t="s">
        <v>1202</v>
      </c>
      <c r="D259" s="22">
        <v>490.0</v>
      </c>
      <c r="E259" s="10">
        <v>400.0</v>
      </c>
      <c r="F259" s="28"/>
      <c r="G259" s="2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75" t="s">
        <v>953</v>
      </c>
      <c r="B260" s="84" t="s">
        <v>17</v>
      </c>
      <c r="C260" s="92" t="s">
        <v>1202</v>
      </c>
      <c r="D260" s="29"/>
      <c r="E260" s="16"/>
      <c r="F260" s="16"/>
      <c r="G260" s="1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75" t="s">
        <v>575</v>
      </c>
      <c r="B261" s="84" t="s">
        <v>1230</v>
      </c>
      <c r="C261" s="92" t="s">
        <v>1202</v>
      </c>
      <c r="D261" s="29">
        <v>4500.0</v>
      </c>
      <c r="E261" s="16"/>
      <c r="F261" s="16"/>
      <c r="G261" s="1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75" t="s">
        <v>577</v>
      </c>
      <c r="B262" s="84" t="s">
        <v>23</v>
      </c>
      <c r="C262" s="92" t="s">
        <v>1202</v>
      </c>
      <c r="D262" s="29">
        <v>2475.0</v>
      </c>
      <c r="E262" s="16"/>
      <c r="F262" s="16"/>
      <c r="G262" s="1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75" t="s">
        <v>629</v>
      </c>
      <c r="B263" s="84" t="s">
        <v>1208</v>
      </c>
      <c r="C263" s="92" t="s">
        <v>1202</v>
      </c>
      <c r="D263" s="29">
        <v>960.0</v>
      </c>
      <c r="E263" s="16"/>
      <c r="F263" s="16"/>
      <c r="G263" s="1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75" t="s">
        <v>955</v>
      </c>
      <c r="B264" s="84" t="s">
        <v>1214</v>
      </c>
      <c r="C264" s="92" t="s">
        <v>1254</v>
      </c>
      <c r="D264" s="29">
        <v>935.0</v>
      </c>
      <c r="E264" s="16"/>
      <c r="F264" s="16"/>
      <c r="G264" s="1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75" t="s">
        <v>422</v>
      </c>
      <c r="B265" s="84" t="s">
        <v>23</v>
      </c>
      <c r="C265" s="92" t="s">
        <v>1202</v>
      </c>
      <c r="D265" s="29">
        <v>3880.0</v>
      </c>
      <c r="E265" s="16">
        <v>3300.0</v>
      </c>
      <c r="F265" s="16"/>
      <c r="G265" s="1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102" t="s">
        <v>695</v>
      </c>
      <c r="B266" s="84" t="s">
        <v>23</v>
      </c>
      <c r="C266" s="92" t="s">
        <v>1202</v>
      </c>
      <c r="D266" s="29">
        <v>1800.0</v>
      </c>
      <c r="E266" s="16"/>
      <c r="F266" s="16"/>
      <c r="G266" s="1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102" t="s">
        <v>695</v>
      </c>
      <c r="B267" s="84" t="s">
        <v>1205</v>
      </c>
      <c r="C267" s="92" t="s">
        <v>1202</v>
      </c>
      <c r="D267" s="29">
        <v>1125.0</v>
      </c>
      <c r="E267" s="16"/>
      <c r="F267" s="16"/>
      <c r="G267" s="1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102" t="s">
        <v>695</v>
      </c>
      <c r="B268" s="84" t="s">
        <v>1255</v>
      </c>
      <c r="C268" s="92" t="s">
        <v>1202</v>
      </c>
      <c r="D268" s="29">
        <v>1300.0</v>
      </c>
      <c r="E268" s="16"/>
      <c r="F268" s="16"/>
      <c r="G268" s="1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75" t="s">
        <v>1156</v>
      </c>
      <c r="B269" s="84" t="s">
        <v>23</v>
      </c>
      <c r="C269" s="92" t="s">
        <v>1202</v>
      </c>
      <c r="D269" s="29"/>
      <c r="E269" s="16"/>
      <c r="F269" s="16"/>
      <c r="G269" s="1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75" t="s">
        <v>1156</v>
      </c>
      <c r="B270" s="84" t="s">
        <v>1256</v>
      </c>
      <c r="C270" s="92" t="s">
        <v>1202</v>
      </c>
      <c r="D270" s="29">
        <v>2800.0</v>
      </c>
      <c r="E270" s="16"/>
      <c r="F270" s="16"/>
      <c r="G270" s="1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75" t="s">
        <v>1158</v>
      </c>
      <c r="B271" s="84" t="s">
        <v>23</v>
      </c>
      <c r="C271" s="92" t="s">
        <v>1202</v>
      </c>
      <c r="D271" s="29">
        <v>4500.0</v>
      </c>
      <c r="E271" s="16"/>
      <c r="F271" s="16"/>
      <c r="G271" s="1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75" t="s">
        <v>1158</v>
      </c>
      <c r="B272" s="84" t="s">
        <v>1205</v>
      </c>
      <c r="C272" s="92" t="s">
        <v>1202</v>
      </c>
      <c r="D272" s="29">
        <v>2080.0</v>
      </c>
      <c r="E272" s="16"/>
      <c r="F272" s="16"/>
      <c r="G272" s="1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75" t="s">
        <v>957</v>
      </c>
      <c r="B273" s="84" t="s">
        <v>1214</v>
      </c>
      <c r="C273" s="92" t="s">
        <v>1202</v>
      </c>
      <c r="D273" s="29">
        <v>430.0</v>
      </c>
      <c r="E273" s="16"/>
      <c r="F273" s="16"/>
      <c r="G273" s="1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75" t="s">
        <v>558</v>
      </c>
      <c r="B274" s="84" t="s">
        <v>1216</v>
      </c>
      <c r="C274" s="92" t="s">
        <v>1202</v>
      </c>
      <c r="D274" s="29">
        <v>1240.0</v>
      </c>
      <c r="E274" s="16"/>
      <c r="F274" s="16"/>
      <c r="G274" s="1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75" t="s">
        <v>959</v>
      </c>
      <c r="B275" s="84" t="s">
        <v>17</v>
      </c>
      <c r="C275" s="92" t="s">
        <v>1202</v>
      </c>
      <c r="D275" s="29">
        <v>6000.0</v>
      </c>
      <c r="E275" s="16"/>
      <c r="F275" s="16"/>
      <c r="G275" s="1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110" t="s">
        <v>961</v>
      </c>
      <c r="B276" s="84" t="s">
        <v>1228</v>
      </c>
      <c r="C276" s="92" t="s">
        <v>1202</v>
      </c>
      <c r="D276" s="29">
        <v>5060.0</v>
      </c>
      <c r="E276" s="16"/>
      <c r="F276" s="16"/>
      <c r="G276" s="1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75" t="s">
        <v>56</v>
      </c>
      <c r="B277" s="84" t="s">
        <v>17</v>
      </c>
      <c r="C277" s="92" t="s">
        <v>1202</v>
      </c>
      <c r="D277" s="29">
        <v>1320.0</v>
      </c>
      <c r="E277" s="105"/>
      <c r="F277" s="108" t="s">
        <v>1203</v>
      </c>
      <c r="G277" s="10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75" t="s">
        <v>56</v>
      </c>
      <c r="B278" s="84" t="s">
        <v>1218</v>
      </c>
      <c r="C278" s="92" t="s">
        <v>1202</v>
      </c>
      <c r="D278" s="29">
        <v>7000.0</v>
      </c>
      <c r="E278" s="105"/>
      <c r="F278" s="108" t="s">
        <v>1203</v>
      </c>
      <c r="G278" s="1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75" t="s">
        <v>805</v>
      </c>
      <c r="B279" s="84" t="s">
        <v>23</v>
      </c>
      <c r="C279" s="92" t="s">
        <v>1202</v>
      </c>
      <c r="D279" s="29">
        <v>1650.0</v>
      </c>
      <c r="E279" s="16"/>
      <c r="F279" s="16"/>
      <c r="G279" s="1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75" t="s">
        <v>805</v>
      </c>
      <c r="B280" s="84" t="s">
        <v>1205</v>
      </c>
      <c r="C280" s="92" t="s">
        <v>1202</v>
      </c>
      <c r="D280" s="29">
        <v>1000.0</v>
      </c>
      <c r="E280" s="16"/>
      <c r="F280" s="16"/>
      <c r="G280" s="1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110" t="s">
        <v>513</v>
      </c>
      <c r="B281" s="84" t="s">
        <v>1228</v>
      </c>
      <c r="C281" s="92" t="s">
        <v>1202</v>
      </c>
      <c r="D281" s="29">
        <v>6050.0</v>
      </c>
      <c r="E281" s="16"/>
      <c r="F281" s="16"/>
      <c r="G281" s="1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75" t="s">
        <v>964</v>
      </c>
      <c r="B282" s="84" t="s">
        <v>1214</v>
      </c>
      <c r="C282" s="92" t="s">
        <v>1257</v>
      </c>
      <c r="D282" s="29">
        <v>7150.0</v>
      </c>
      <c r="E282" s="16"/>
      <c r="F282" s="16"/>
      <c r="G282" s="1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110" t="s">
        <v>964</v>
      </c>
      <c r="B283" s="84" t="s">
        <v>1228</v>
      </c>
      <c r="C283" s="92" t="s">
        <v>1202</v>
      </c>
      <c r="D283" s="29">
        <v>9350.0</v>
      </c>
      <c r="E283" s="16"/>
      <c r="F283" s="16"/>
      <c r="G283" s="1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75" t="s">
        <v>424</v>
      </c>
      <c r="B284" s="84" t="s">
        <v>23</v>
      </c>
      <c r="C284" s="92" t="s">
        <v>1202</v>
      </c>
      <c r="D284" s="29">
        <v>3300.0</v>
      </c>
      <c r="E284" s="16"/>
      <c r="F284" s="16"/>
      <c r="G284" s="1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102" t="s">
        <v>966</v>
      </c>
      <c r="B285" s="84" t="s">
        <v>1228</v>
      </c>
      <c r="C285" s="92" t="s">
        <v>1202</v>
      </c>
      <c r="D285" s="29">
        <v>5500.0</v>
      </c>
      <c r="E285" s="16"/>
      <c r="F285" s="16"/>
      <c r="G285" s="1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75" t="s">
        <v>530</v>
      </c>
      <c r="B286" s="84" t="s">
        <v>23</v>
      </c>
      <c r="C286" s="92" t="s">
        <v>1202</v>
      </c>
      <c r="D286" s="29">
        <v>2940.0</v>
      </c>
      <c r="E286" s="16">
        <v>2500.0</v>
      </c>
      <c r="F286" s="16"/>
      <c r="G286" s="1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75" t="s">
        <v>807</v>
      </c>
      <c r="B287" s="84" t="s">
        <v>1205</v>
      </c>
      <c r="C287" s="92" t="s">
        <v>1202</v>
      </c>
      <c r="D287" s="29">
        <v>20400.0</v>
      </c>
      <c r="E287" s="16"/>
      <c r="F287" s="16"/>
      <c r="G287" s="1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75" t="s">
        <v>807</v>
      </c>
      <c r="B288" s="84" t="s">
        <v>23</v>
      </c>
      <c r="C288" s="92" t="s">
        <v>1202</v>
      </c>
      <c r="D288" s="29">
        <v>26400.0</v>
      </c>
      <c r="E288" s="16"/>
      <c r="F288" s="16"/>
      <c r="G288" s="1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75" t="s">
        <v>807</v>
      </c>
      <c r="B289" s="84" t="s">
        <v>17</v>
      </c>
      <c r="C289" s="92" t="s">
        <v>1202</v>
      </c>
      <c r="D289" s="29">
        <v>3500.0</v>
      </c>
      <c r="E289" s="16"/>
      <c r="F289" s="16"/>
      <c r="G289" s="1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75" t="s">
        <v>807</v>
      </c>
      <c r="B290" s="84" t="s">
        <v>1256</v>
      </c>
      <c r="C290" s="92" t="s">
        <v>1219</v>
      </c>
      <c r="D290" s="29">
        <v>2900.0</v>
      </c>
      <c r="E290" s="16"/>
      <c r="F290" s="16"/>
      <c r="G290" s="1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75" t="s">
        <v>807</v>
      </c>
      <c r="B291" s="84" t="s">
        <v>1256</v>
      </c>
      <c r="C291" s="92" t="s">
        <v>1202</v>
      </c>
      <c r="D291" s="29">
        <v>5100.0</v>
      </c>
      <c r="E291" s="16"/>
      <c r="F291" s="16"/>
      <c r="G291" s="1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75" t="s">
        <v>968</v>
      </c>
      <c r="B292" s="84" t="s">
        <v>17</v>
      </c>
      <c r="C292" s="92" t="s">
        <v>1202</v>
      </c>
      <c r="D292" s="29">
        <v>1100.0</v>
      </c>
      <c r="E292" s="16"/>
      <c r="F292" s="16"/>
      <c r="G292" s="1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75" t="s">
        <v>57</v>
      </c>
      <c r="B293" s="84" t="s">
        <v>23</v>
      </c>
      <c r="C293" s="92" t="s">
        <v>1202</v>
      </c>
      <c r="D293" s="29">
        <v>2200.0</v>
      </c>
      <c r="E293" s="105"/>
      <c r="F293" s="106"/>
      <c r="G293" s="10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75" t="s">
        <v>241</v>
      </c>
      <c r="B294" s="84" t="s">
        <v>17</v>
      </c>
      <c r="C294" s="92" t="s">
        <v>1207</v>
      </c>
      <c r="D294" s="29">
        <v>5175.0</v>
      </c>
      <c r="E294" s="105"/>
      <c r="F294" s="106"/>
      <c r="G294" s="10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75" t="s">
        <v>426</v>
      </c>
      <c r="B295" s="84" t="s">
        <v>17</v>
      </c>
      <c r="C295" s="92" t="s">
        <v>1202</v>
      </c>
      <c r="D295" s="29">
        <v>885.0</v>
      </c>
      <c r="E295" s="16">
        <v>800.0</v>
      </c>
      <c r="F295" s="16"/>
      <c r="G295" s="1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75" t="s">
        <v>58</v>
      </c>
      <c r="B296" s="84" t="s">
        <v>17</v>
      </c>
      <c r="C296" s="92" t="s">
        <v>1202</v>
      </c>
      <c r="D296" s="29">
        <v>3300.0</v>
      </c>
      <c r="E296" s="10">
        <v>2750.0</v>
      </c>
      <c r="F296" s="28"/>
      <c r="G296" s="2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75" t="s">
        <v>676</v>
      </c>
      <c r="B297" s="84" t="s">
        <v>17</v>
      </c>
      <c r="C297" s="92" t="s">
        <v>1207</v>
      </c>
      <c r="D297" s="29">
        <v>10690.0</v>
      </c>
      <c r="E297" s="16"/>
      <c r="F297" s="16"/>
      <c r="G297" s="1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75" t="s">
        <v>631</v>
      </c>
      <c r="B298" s="84" t="s">
        <v>1208</v>
      </c>
      <c r="C298" s="92" t="s">
        <v>1202</v>
      </c>
      <c r="D298" s="29">
        <v>1125.0</v>
      </c>
      <c r="E298" s="16"/>
      <c r="F298" s="16"/>
      <c r="G298" s="1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75" t="s">
        <v>1177</v>
      </c>
      <c r="B299" s="84" t="s">
        <v>1205</v>
      </c>
      <c r="C299" s="92" t="s">
        <v>1202</v>
      </c>
      <c r="D299" s="29">
        <v>6100.0</v>
      </c>
      <c r="E299" s="16"/>
      <c r="F299" s="16"/>
      <c r="G299" s="1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75" t="s">
        <v>1177</v>
      </c>
      <c r="B300" s="84" t="s">
        <v>23</v>
      </c>
      <c r="C300" s="92" t="s">
        <v>1202</v>
      </c>
      <c r="D300" s="29">
        <v>9000.0</v>
      </c>
      <c r="E300" s="16"/>
      <c r="F300" s="16"/>
      <c r="G300" s="1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75" t="s">
        <v>1177</v>
      </c>
      <c r="B301" s="84" t="s">
        <v>17</v>
      </c>
      <c r="C301" s="92" t="s">
        <v>1202</v>
      </c>
      <c r="D301" s="29">
        <v>1700.0</v>
      </c>
      <c r="E301" s="16"/>
      <c r="F301" s="16"/>
      <c r="G301" s="1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75" t="s">
        <v>1177</v>
      </c>
      <c r="B302" s="84" t="s">
        <v>1216</v>
      </c>
      <c r="C302" s="92" t="s">
        <v>1202</v>
      </c>
      <c r="D302" s="29">
        <v>5625.0</v>
      </c>
      <c r="E302" s="16"/>
      <c r="F302" s="16"/>
      <c r="G302" s="1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75" t="s">
        <v>244</v>
      </c>
      <c r="B303" s="84" t="s">
        <v>17</v>
      </c>
      <c r="C303" s="92" t="s">
        <v>1202</v>
      </c>
      <c r="D303" s="29">
        <v>360.0</v>
      </c>
      <c r="E303" s="16">
        <v>300.0</v>
      </c>
      <c r="F303" s="16"/>
      <c r="G303" s="1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75" t="s">
        <v>244</v>
      </c>
      <c r="B304" s="84" t="s">
        <v>23</v>
      </c>
      <c r="C304" s="92" t="s">
        <v>1202</v>
      </c>
      <c r="D304" s="29">
        <v>600.0</v>
      </c>
      <c r="E304" s="16">
        <v>500.0</v>
      </c>
      <c r="F304" s="16"/>
      <c r="G304" s="1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75" t="s">
        <v>633</v>
      </c>
      <c r="B305" s="84" t="s">
        <v>1208</v>
      </c>
      <c r="C305" s="92" t="s">
        <v>1202</v>
      </c>
      <c r="D305" s="29">
        <v>1015.0</v>
      </c>
      <c r="E305" s="16"/>
      <c r="F305" s="16"/>
      <c r="G305" s="1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75" t="s">
        <v>61</v>
      </c>
      <c r="B306" s="84" t="s">
        <v>23</v>
      </c>
      <c r="C306" s="92" t="s">
        <v>1202</v>
      </c>
      <c r="D306" s="22">
        <v>600.0</v>
      </c>
      <c r="E306" s="10">
        <v>500.0</v>
      </c>
      <c r="F306" s="28"/>
      <c r="G306" s="2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75" t="s">
        <v>61</v>
      </c>
      <c r="B307" s="84" t="s">
        <v>17</v>
      </c>
      <c r="C307" s="92" t="s">
        <v>1238</v>
      </c>
      <c r="D307" s="29">
        <v>2000.0</v>
      </c>
      <c r="E307" s="16">
        <v>2000.0</v>
      </c>
      <c r="F307" s="16"/>
      <c r="G307" s="1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75" t="s">
        <v>252</v>
      </c>
      <c r="B308" s="84" t="s">
        <v>17</v>
      </c>
      <c r="C308" s="92" t="s">
        <v>1202</v>
      </c>
      <c r="D308" s="29">
        <v>400.0</v>
      </c>
      <c r="E308" s="105"/>
      <c r="F308" s="106"/>
      <c r="G308" s="10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75" t="s">
        <v>62</v>
      </c>
      <c r="B309" s="84" t="s">
        <v>23</v>
      </c>
      <c r="C309" s="92" t="s">
        <v>1202</v>
      </c>
      <c r="D309" s="22">
        <v>750.0</v>
      </c>
      <c r="E309" s="10">
        <v>600.0</v>
      </c>
      <c r="F309" s="28"/>
      <c r="G309" s="2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75" t="s">
        <v>259</v>
      </c>
      <c r="B310" s="84" t="s">
        <v>17</v>
      </c>
      <c r="C310" s="92" t="s">
        <v>1202</v>
      </c>
      <c r="D310" s="29">
        <v>600.0</v>
      </c>
      <c r="E310" s="105"/>
      <c r="F310" s="106"/>
      <c r="G310" s="10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75" t="s">
        <v>63</v>
      </c>
      <c r="B311" s="84" t="s">
        <v>1210</v>
      </c>
      <c r="C311" s="92" t="s">
        <v>1202</v>
      </c>
      <c r="D311" s="22">
        <v>2500.0</v>
      </c>
      <c r="E311" s="10">
        <v>1700.0</v>
      </c>
      <c r="F311" s="16"/>
      <c r="G311" s="1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75" t="s">
        <v>263</v>
      </c>
      <c r="B312" s="84" t="s">
        <v>23</v>
      </c>
      <c r="C312" s="92" t="s">
        <v>1202</v>
      </c>
      <c r="D312" s="29">
        <v>115.0</v>
      </c>
      <c r="E312" s="105"/>
      <c r="F312" s="16"/>
      <c r="G312" s="1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75" t="s">
        <v>65</v>
      </c>
      <c r="B313" s="84" t="s">
        <v>23</v>
      </c>
      <c r="C313" s="92" t="s">
        <v>1202</v>
      </c>
      <c r="D313" s="29">
        <v>1035.0</v>
      </c>
      <c r="E313" s="10">
        <v>900.0</v>
      </c>
      <c r="F313" s="28"/>
      <c r="G313" s="2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75" t="s">
        <v>66</v>
      </c>
      <c r="B314" s="84" t="s">
        <v>23</v>
      </c>
      <c r="C314" s="92" t="s">
        <v>1202</v>
      </c>
      <c r="D314" s="29">
        <v>800.0</v>
      </c>
      <c r="E314" s="16">
        <v>700.0</v>
      </c>
      <c r="F314" s="16"/>
      <c r="G314" s="1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75" t="s">
        <v>66</v>
      </c>
      <c r="B315" s="84" t="s">
        <v>17</v>
      </c>
      <c r="C315" s="92" t="s">
        <v>1258</v>
      </c>
      <c r="D315" s="29">
        <v>3000.0</v>
      </c>
      <c r="E315" s="16">
        <v>3000.0</v>
      </c>
      <c r="F315" s="16"/>
      <c r="G315" s="1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75" t="s">
        <v>270</v>
      </c>
      <c r="B316" s="84" t="s">
        <v>1206</v>
      </c>
      <c r="C316" s="92" t="s">
        <v>1202</v>
      </c>
      <c r="D316" s="29">
        <v>3900.0</v>
      </c>
      <c r="E316" s="105"/>
      <c r="F316" s="16"/>
      <c r="G316" s="1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75" t="s">
        <v>272</v>
      </c>
      <c r="B317" s="84" t="s">
        <v>17</v>
      </c>
      <c r="C317" s="92" t="s">
        <v>1202</v>
      </c>
      <c r="D317" s="29">
        <v>690.0</v>
      </c>
      <c r="E317" s="10">
        <v>600.0</v>
      </c>
      <c r="F317" s="108" t="s">
        <v>1203</v>
      </c>
      <c r="G317" s="2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112" t="s">
        <v>275</v>
      </c>
      <c r="B318" s="84" t="s">
        <v>1206</v>
      </c>
      <c r="C318" s="92" t="s">
        <v>1202</v>
      </c>
      <c r="D318" s="29">
        <v>1300.0</v>
      </c>
      <c r="E318" s="16"/>
      <c r="F318" s="16"/>
      <c r="G318" s="1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75" t="s">
        <v>67</v>
      </c>
      <c r="B319" s="84" t="s">
        <v>17</v>
      </c>
      <c r="C319" s="92" t="s">
        <v>1202</v>
      </c>
      <c r="D319" s="22">
        <v>680.0</v>
      </c>
      <c r="E319" s="10">
        <v>600.0</v>
      </c>
      <c r="F319" s="28"/>
      <c r="G319" s="2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75" t="s">
        <v>69</v>
      </c>
      <c r="B320" s="84" t="s">
        <v>17</v>
      </c>
      <c r="C320" s="92" t="s">
        <v>1202</v>
      </c>
      <c r="D320" s="29">
        <v>575.0</v>
      </c>
      <c r="E320" s="16">
        <v>500.0</v>
      </c>
      <c r="F320" s="16"/>
      <c r="G320" s="1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112" t="s">
        <v>1259</v>
      </c>
      <c r="B321" s="84" t="s">
        <v>1218</v>
      </c>
      <c r="C321" s="92" t="s">
        <v>1207</v>
      </c>
      <c r="D321" s="29">
        <v>3500.0</v>
      </c>
      <c r="E321" s="105"/>
      <c r="F321" s="16"/>
      <c r="G321" s="1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112" t="s">
        <v>1260</v>
      </c>
      <c r="B322" s="84" t="s">
        <v>17</v>
      </c>
      <c r="C322" s="92" t="s">
        <v>1202</v>
      </c>
      <c r="D322" s="22">
        <v>990.0</v>
      </c>
      <c r="E322" s="15">
        <v>900.0</v>
      </c>
      <c r="F322" s="16"/>
      <c r="G322" s="10" t="s">
        <v>1261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75" t="s">
        <v>282</v>
      </c>
      <c r="B323" s="84" t="s">
        <v>17</v>
      </c>
      <c r="C323" s="92" t="s">
        <v>1202</v>
      </c>
      <c r="D323" s="29">
        <v>575.0</v>
      </c>
      <c r="E323" s="105"/>
      <c r="F323" s="106"/>
      <c r="G323" s="10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75" t="s">
        <v>286</v>
      </c>
      <c r="B324" s="84" t="s">
        <v>17</v>
      </c>
      <c r="C324" s="92" t="s">
        <v>1202</v>
      </c>
      <c r="D324" s="29">
        <v>460.0</v>
      </c>
      <c r="E324" s="105"/>
      <c r="F324" s="106"/>
      <c r="G324" s="10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75" t="s">
        <v>775</v>
      </c>
      <c r="B325" s="84" t="s">
        <v>1205</v>
      </c>
      <c r="C325" s="92" t="s">
        <v>1202</v>
      </c>
      <c r="D325" s="29">
        <v>6875.0</v>
      </c>
      <c r="E325" s="16"/>
      <c r="F325" s="16"/>
      <c r="G325" s="1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75" t="s">
        <v>534</v>
      </c>
      <c r="B326" s="84" t="s">
        <v>1262</v>
      </c>
      <c r="C326" s="92" t="s">
        <v>1207</v>
      </c>
      <c r="D326" s="29">
        <v>6200.0</v>
      </c>
      <c r="E326" s="16"/>
      <c r="F326" s="16"/>
      <c r="G326" s="1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75" t="s">
        <v>534</v>
      </c>
      <c r="B327" s="84" t="s">
        <v>1248</v>
      </c>
      <c r="C327" s="92" t="s">
        <v>1207</v>
      </c>
      <c r="D327" s="29">
        <v>2750.0</v>
      </c>
      <c r="E327" s="16"/>
      <c r="F327" s="16"/>
      <c r="G327" s="1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75" t="s">
        <v>534</v>
      </c>
      <c r="B328" s="84" t="s">
        <v>17</v>
      </c>
      <c r="C328" s="92" t="s">
        <v>1207</v>
      </c>
      <c r="D328" s="29">
        <v>1000.0</v>
      </c>
      <c r="E328" s="16"/>
      <c r="F328" s="16"/>
      <c r="G328" s="1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75" t="s">
        <v>534</v>
      </c>
      <c r="B329" s="84" t="s">
        <v>1251</v>
      </c>
      <c r="C329" s="92" t="s">
        <v>1207</v>
      </c>
      <c r="D329" s="29">
        <v>620.0</v>
      </c>
      <c r="E329" s="16"/>
      <c r="F329" s="16"/>
      <c r="G329" s="1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75" t="s">
        <v>777</v>
      </c>
      <c r="B330" s="84" t="s">
        <v>1205</v>
      </c>
      <c r="C330" s="92" t="s">
        <v>1202</v>
      </c>
      <c r="D330" s="29">
        <v>2200.0</v>
      </c>
      <c r="E330" s="16"/>
      <c r="F330" s="16"/>
      <c r="G330" s="1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75" t="s">
        <v>538</v>
      </c>
      <c r="B331" s="84" t="s">
        <v>23</v>
      </c>
      <c r="C331" s="92" t="s">
        <v>1202</v>
      </c>
      <c r="D331" s="29" t="s">
        <v>1211</v>
      </c>
      <c r="E331" s="16"/>
      <c r="F331" s="16"/>
      <c r="G331" s="1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75" t="s">
        <v>289</v>
      </c>
      <c r="B332" s="84" t="s">
        <v>17</v>
      </c>
      <c r="C332" s="92" t="s">
        <v>1219</v>
      </c>
      <c r="D332" s="29">
        <v>1250.0</v>
      </c>
      <c r="E332" s="16"/>
      <c r="F332" s="16"/>
      <c r="G332" s="1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75" t="s">
        <v>1110</v>
      </c>
      <c r="B333" s="84" t="s">
        <v>17</v>
      </c>
      <c r="C333" s="92"/>
      <c r="D333" s="29" t="s">
        <v>1229</v>
      </c>
      <c r="E333" s="16"/>
      <c r="F333" s="16"/>
      <c r="G333" s="1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75" t="s">
        <v>428</v>
      </c>
      <c r="B334" s="84" t="s">
        <v>23</v>
      </c>
      <c r="C334" s="92" t="s">
        <v>1202</v>
      </c>
      <c r="D334" s="29">
        <v>9560.0</v>
      </c>
      <c r="E334" s="16">
        <v>8500.0</v>
      </c>
      <c r="F334" s="16"/>
      <c r="G334" s="1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75" t="s">
        <v>428</v>
      </c>
      <c r="B335" s="84" t="s">
        <v>1205</v>
      </c>
      <c r="C335" s="92" t="s">
        <v>1202</v>
      </c>
      <c r="D335" s="29">
        <v>7300.0</v>
      </c>
      <c r="E335" s="16">
        <v>6500.0</v>
      </c>
      <c r="F335" s="16"/>
      <c r="G335" s="1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75" t="s">
        <v>1112</v>
      </c>
      <c r="B336" s="84" t="s">
        <v>17</v>
      </c>
      <c r="C336" s="92" t="s">
        <v>1202</v>
      </c>
      <c r="D336" s="29">
        <v>1687.0</v>
      </c>
      <c r="E336" s="16"/>
      <c r="F336" s="16"/>
      <c r="G336" s="1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75" t="s">
        <v>972</v>
      </c>
      <c r="B337" s="84" t="s">
        <v>17</v>
      </c>
      <c r="C337" s="92" t="s">
        <v>1202</v>
      </c>
      <c r="D337" s="29"/>
      <c r="E337" s="16"/>
      <c r="F337" s="16"/>
      <c r="G337" s="1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75" t="s">
        <v>972</v>
      </c>
      <c r="B338" s="84" t="s">
        <v>1205</v>
      </c>
      <c r="C338" s="92" t="s">
        <v>1219</v>
      </c>
      <c r="D338" s="29">
        <v>7700.0</v>
      </c>
      <c r="E338" s="16"/>
      <c r="F338" s="16"/>
      <c r="G338" s="1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75" t="s">
        <v>974</v>
      </c>
      <c r="B339" s="84" t="s">
        <v>23</v>
      </c>
      <c r="C339" s="92" t="s">
        <v>1202</v>
      </c>
      <c r="D339" s="29">
        <v>33000.0</v>
      </c>
      <c r="E339" s="16"/>
      <c r="F339" s="16"/>
      <c r="G339" s="1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75" t="s">
        <v>976</v>
      </c>
      <c r="B340" s="84" t="s">
        <v>17</v>
      </c>
      <c r="C340" s="92" t="s">
        <v>1202</v>
      </c>
      <c r="D340" s="29">
        <v>11000.0</v>
      </c>
      <c r="E340" s="16"/>
      <c r="F340" s="16"/>
      <c r="G340" s="1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75" t="s">
        <v>293</v>
      </c>
      <c r="B341" s="84" t="s">
        <v>17</v>
      </c>
      <c r="C341" s="92" t="s">
        <v>1202</v>
      </c>
      <c r="D341" s="22">
        <v>650.0</v>
      </c>
      <c r="E341" s="10">
        <v>500.0</v>
      </c>
      <c r="F341" s="28"/>
      <c r="G341" s="2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102" t="s">
        <v>697</v>
      </c>
      <c r="B342" s="84" t="s">
        <v>23</v>
      </c>
      <c r="C342" s="92" t="s">
        <v>1202</v>
      </c>
      <c r="D342" s="29">
        <v>3230.0</v>
      </c>
      <c r="E342" s="16">
        <v>2750.0</v>
      </c>
      <c r="F342" s="16"/>
      <c r="G342" s="1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102" t="s">
        <v>697</v>
      </c>
      <c r="B343" s="84" t="s">
        <v>1205</v>
      </c>
      <c r="C343" s="92" t="s">
        <v>1202</v>
      </c>
      <c r="D343" s="29">
        <v>1760.0</v>
      </c>
      <c r="E343" s="16">
        <v>1500.0</v>
      </c>
      <c r="F343" s="16"/>
      <c r="G343" s="1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75" t="s">
        <v>809</v>
      </c>
      <c r="B344" s="84" t="s">
        <v>1205</v>
      </c>
      <c r="C344" s="92" t="s">
        <v>1202</v>
      </c>
      <c r="D344" s="29">
        <v>3500.0</v>
      </c>
      <c r="E344" s="16">
        <v>3000.0</v>
      </c>
      <c r="F344" s="16"/>
      <c r="G344" s="1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75" t="s">
        <v>809</v>
      </c>
      <c r="B345" s="84" t="s">
        <v>23</v>
      </c>
      <c r="C345" s="92" t="s">
        <v>1202</v>
      </c>
      <c r="D345" s="29">
        <v>4700.0</v>
      </c>
      <c r="E345" s="16">
        <v>4000.0</v>
      </c>
      <c r="F345" s="16"/>
      <c r="G345" s="1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75" t="s">
        <v>978</v>
      </c>
      <c r="B346" s="84" t="s">
        <v>1263</v>
      </c>
      <c r="C346" s="92" t="s">
        <v>1202</v>
      </c>
      <c r="D346" s="29">
        <v>6100.0</v>
      </c>
      <c r="E346" s="16">
        <v>5500.0</v>
      </c>
      <c r="F346" s="16"/>
      <c r="G346" s="1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75" t="s">
        <v>635</v>
      </c>
      <c r="B347" s="84" t="s">
        <v>1208</v>
      </c>
      <c r="C347" s="92" t="s">
        <v>1202</v>
      </c>
      <c r="D347" s="29">
        <v>960.0</v>
      </c>
      <c r="E347" s="16"/>
      <c r="F347" s="16"/>
      <c r="G347" s="1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75" t="s">
        <v>1160</v>
      </c>
      <c r="B348" s="84" t="s">
        <v>23</v>
      </c>
      <c r="C348" s="92" t="s">
        <v>1202</v>
      </c>
      <c r="D348" s="29">
        <v>3800.0</v>
      </c>
      <c r="E348" s="16"/>
      <c r="F348" s="16"/>
      <c r="G348" s="1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75" t="s">
        <v>1160</v>
      </c>
      <c r="B349" s="84" t="s">
        <v>1205</v>
      </c>
      <c r="C349" s="92" t="s">
        <v>1202</v>
      </c>
      <c r="D349" s="29">
        <v>2000.0</v>
      </c>
      <c r="E349" s="16"/>
      <c r="F349" s="16"/>
      <c r="G349" s="1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75" t="s">
        <v>983</v>
      </c>
      <c r="B350" s="84" t="s">
        <v>17</v>
      </c>
      <c r="C350" s="92" t="s">
        <v>1202</v>
      </c>
      <c r="D350" s="29">
        <v>67500.0</v>
      </c>
      <c r="E350" s="16"/>
      <c r="F350" s="16"/>
      <c r="G350" s="1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75" t="s">
        <v>72</v>
      </c>
      <c r="B351" s="84" t="s">
        <v>1210</v>
      </c>
      <c r="C351" s="92" t="s">
        <v>1202</v>
      </c>
      <c r="D351" s="22">
        <v>1500.0</v>
      </c>
      <c r="E351" s="111">
        <v>1350.0</v>
      </c>
      <c r="F351" s="108" t="s">
        <v>1264</v>
      </c>
      <c r="G351" s="10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75" t="s">
        <v>299</v>
      </c>
      <c r="B352" s="84" t="s">
        <v>17</v>
      </c>
      <c r="C352" s="92" t="s">
        <v>1202</v>
      </c>
      <c r="D352" s="29">
        <v>400.0</v>
      </c>
      <c r="E352" s="16"/>
      <c r="F352" s="16"/>
      <c r="G352" s="1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110" t="s">
        <v>699</v>
      </c>
      <c r="B353" s="84" t="s">
        <v>1228</v>
      </c>
      <c r="C353" s="92" t="s">
        <v>1202</v>
      </c>
      <c r="D353" s="29">
        <v>3300.0</v>
      </c>
      <c r="E353" s="16"/>
      <c r="F353" s="16"/>
      <c r="G353" s="1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75" t="s">
        <v>1162</v>
      </c>
      <c r="B354" s="84" t="s">
        <v>23</v>
      </c>
      <c r="C354" s="92" t="s">
        <v>1202</v>
      </c>
      <c r="D354" s="29">
        <v>3100.0</v>
      </c>
      <c r="E354" s="16"/>
      <c r="F354" s="16"/>
      <c r="G354" s="1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75" t="s">
        <v>1162</v>
      </c>
      <c r="B355" s="84" t="s">
        <v>1205</v>
      </c>
      <c r="C355" s="92" t="s">
        <v>1202</v>
      </c>
      <c r="D355" s="29">
        <v>2000.0</v>
      </c>
      <c r="E355" s="16"/>
      <c r="F355" s="16"/>
      <c r="G355" s="1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75" t="s">
        <v>546</v>
      </c>
      <c r="B356" s="84" t="s">
        <v>1265</v>
      </c>
      <c r="C356" s="92" t="s">
        <v>1245</v>
      </c>
      <c r="D356" s="29">
        <v>29375.0</v>
      </c>
      <c r="E356" s="16">
        <v>25000.0</v>
      </c>
      <c r="F356" s="16"/>
      <c r="G356" s="1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110" t="s">
        <v>991</v>
      </c>
      <c r="B357" s="84" t="s">
        <v>1228</v>
      </c>
      <c r="C357" s="92" t="s">
        <v>1202</v>
      </c>
      <c r="D357" s="29">
        <v>3685.0</v>
      </c>
      <c r="E357" s="16"/>
      <c r="F357" s="16"/>
      <c r="G357" s="1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75" t="s">
        <v>1164</v>
      </c>
      <c r="B358" s="84" t="s">
        <v>23</v>
      </c>
      <c r="C358" s="92" t="s">
        <v>1202</v>
      </c>
      <c r="D358" s="29">
        <v>3375.0</v>
      </c>
      <c r="E358" s="16"/>
      <c r="F358" s="16"/>
      <c r="G358" s="1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75" t="s">
        <v>1164</v>
      </c>
      <c r="B359" s="84" t="s">
        <v>1205</v>
      </c>
      <c r="C359" s="92" t="s">
        <v>1202</v>
      </c>
      <c r="D359" s="29">
        <v>1690.0</v>
      </c>
      <c r="E359" s="16"/>
      <c r="F359" s="16"/>
      <c r="G359" s="1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75" t="s">
        <v>701</v>
      </c>
      <c r="B360" s="84" t="s">
        <v>23</v>
      </c>
      <c r="C360" s="92" t="s">
        <v>1202</v>
      </c>
      <c r="D360" s="29" t="s">
        <v>1211</v>
      </c>
      <c r="E360" s="16"/>
      <c r="F360" s="16"/>
      <c r="G360" s="1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110" t="s">
        <v>811</v>
      </c>
      <c r="B361" s="84" t="s">
        <v>1228</v>
      </c>
      <c r="C361" s="92" t="s">
        <v>1202</v>
      </c>
      <c r="D361" s="29">
        <v>3300.0</v>
      </c>
      <c r="E361" s="16"/>
      <c r="F361" s="16"/>
      <c r="G361" s="1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75" t="s">
        <v>637</v>
      </c>
      <c r="B362" s="84" t="s">
        <v>1208</v>
      </c>
      <c r="C362" s="92" t="s">
        <v>1202</v>
      </c>
      <c r="D362" s="29">
        <v>1350.0</v>
      </c>
      <c r="E362" s="16"/>
      <c r="F362" s="16"/>
      <c r="G362" s="1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102" t="s">
        <v>993</v>
      </c>
      <c r="B363" s="84" t="s">
        <v>1228</v>
      </c>
      <c r="C363" s="92" t="s">
        <v>1202</v>
      </c>
      <c r="D363" s="29">
        <v>7150.0</v>
      </c>
      <c r="E363" s="16"/>
      <c r="F363" s="16"/>
      <c r="G363" s="1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110" t="s">
        <v>995</v>
      </c>
      <c r="B364" s="84" t="s">
        <v>1237</v>
      </c>
      <c r="C364" s="92" t="s">
        <v>1202</v>
      </c>
      <c r="D364" s="29">
        <v>13200.0</v>
      </c>
      <c r="E364" s="16"/>
      <c r="F364" s="16"/>
      <c r="G364" s="1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75" t="s">
        <v>301</v>
      </c>
      <c r="B365" s="84" t="s">
        <v>23</v>
      </c>
      <c r="C365" s="92" t="s">
        <v>1202</v>
      </c>
      <c r="D365" s="29"/>
      <c r="E365" s="16"/>
      <c r="F365" s="16"/>
      <c r="G365" s="1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75" t="s">
        <v>306</v>
      </c>
      <c r="B366" s="84" t="s">
        <v>17</v>
      </c>
      <c r="C366" s="92" t="s">
        <v>1202</v>
      </c>
      <c r="D366" s="29">
        <v>575.0</v>
      </c>
      <c r="E366" s="105"/>
      <c r="F366" s="106"/>
      <c r="G366" s="10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75" t="s">
        <v>997</v>
      </c>
      <c r="B367" s="84" t="s">
        <v>1230</v>
      </c>
      <c r="C367" s="92" t="s">
        <v>1202</v>
      </c>
      <c r="D367" s="29">
        <v>2420.0</v>
      </c>
      <c r="E367" s="16"/>
      <c r="F367" s="16"/>
      <c r="G367" s="1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75" t="s">
        <v>999</v>
      </c>
      <c r="B368" s="84" t="s">
        <v>1206</v>
      </c>
      <c r="C368" s="92" t="s">
        <v>1202</v>
      </c>
      <c r="D368" s="29">
        <v>5800.0</v>
      </c>
      <c r="E368" s="16"/>
      <c r="F368" s="16"/>
      <c r="G368" s="1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102" t="s">
        <v>703</v>
      </c>
      <c r="B369" s="84" t="s">
        <v>23</v>
      </c>
      <c r="C369" s="92" t="s">
        <v>1202</v>
      </c>
      <c r="D369" s="29">
        <v>5100.0</v>
      </c>
      <c r="E369" s="16"/>
      <c r="F369" s="16"/>
      <c r="G369" s="1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102" t="s">
        <v>703</v>
      </c>
      <c r="B370" s="84" t="s">
        <v>1205</v>
      </c>
      <c r="C370" s="92" t="s">
        <v>1202</v>
      </c>
      <c r="D370" s="29">
        <v>4275.0</v>
      </c>
      <c r="E370" s="16"/>
      <c r="F370" s="16"/>
      <c r="G370" s="1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102" t="s">
        <v>703</v>
      </c>
      <c r="B371" s="84" t="s">
        <v>1214</v>
      </c>
      <c r="C371" s="92" t="s">
        <v>1202</v>
      </c>
      <c r="D371" s="29">
        <v>1240.0</v>
      </c>
      <c r="E371" s="16"/>
      <c r="F371" s="16"/>
      <c r="G371" s="1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102" t="s">
        <v>703</v>
      </c>
      <c r="B372" s="84" t="s">
        <v>1214</v>
      </c>
      <c r="C372" s="92" t="s">
        <v>1233</v>
      </c>
      <c r="D372" s="29">
        <v>2150.0</v>
      </c>
      <c r="E372" s="16"/>
      <c r="F372" s="16"/>
      <c r="G372" s="1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102" t="s">
        <v>703</v>
      </c>
      <c r="B373" s="84" t="s">
        <v>1228</v>
      </c>
      <c r="C373" s="92" t="s">
        <v>1202</v>
      </c>
      <c r="D373" s="29">
        <v>2475.0</v>
      </c>
      <c r="E373" s="16"/>
      <c r="F373" s="16"/>
      <c r="G373" s="1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102" t="s">
        <v>703</v>
      </c>
      <c r="B374" s="84" t="s">
        <v>1208</v>
      </c>
      <c r="C374" s="92" t="s">
        <v>1202</v>
      </c>
      <c r="D374" s="29">
        <v>1125.0</v>
      </c>
      <c r="E374" s="16"/>
      <c r="F374" s="16"/>
      <c r="G374" s="1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75" t="s">
        <v>1001</v>
      </c>
      <c r="B375" s="84" t="s">
        <v>1204</v>
      </c>
      <c r="C375" s="92"/>
      <c r="D375" s="29">
        <v>2700.0</v>
      </c>
      <c r="E375" s="16"/>
      <c r="F375" s="16"/>
      <c r="G375" s="1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102" t="s">
        <v>560</v>
      </c>
      <c r="B376" s="84" t="s">
        <v>23</v>
      </c>
      <c r="C376" s="92" t="s">
        <v>1202</v>
      </c>
      <c r="D376" s="29">
        <v>4500.0</v>
      </c>
      <c r="E376" s="16"/>
      <c r="F376" s="16"/>
      <c r="G376" s="1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75" t="s">
        <v>1003</v>
      </c>
      <c r="B377" s="84" t="s">
        <v>1266</v>
      </c>
      <c r="C377" s="92" t="s">
        <v>1202</v>
      </c>
      <c r="D377" s="29"/>
      <c r="E377" s="16"/>
      <c r="F377" s="16"/>
      <c r="G377" s="1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75" t="s">
        <v>475</v>
      </c>
      <c r="B378" s="84" t="s">
        <v>23</v>
      </c>
      <c r="C378" s="92"/>
      <c r="D378" s="29">
        <v>9775.0</v>
      </c>
      <c r="E378" s="16"/>
      <c r="F378" s="16"/>
      <c r="G378" s="1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75" t="s">
        <v>310</v>
      </c>
      <c r="B379" s="84" t="s">
        <v>1218</v>
      </c>
      <c r="C379" s="92" t="s">
        <v>1207</v>
      </c>
      <c r="D379" s="29">
        <v>3100.0</v>
      </c>
      <c r="E379" s="105"/>
      <c r="F379" s="106"/>
      <c r="G379" s="10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102" t="s">
        <v>705</v>
      </c>
      <c r="B380" s="84" t="s">
        <v>1205</v>
      </c>
      <c r="C380" s="92" t="s">
        <v>1202</v>
      </c>
      <c r="D380" s="29">
        <v>1760.0</v>
      </c>
      <c r="E380" s="16">
        <v>1500.0</v>
      </c>
      <c r="F380" s="16"/>
      <c r="G380" s="1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102" t="s">
        <v>705</v>
      </c>
      <c r="B381" s="84" t="s">
        <v>23</v>
      </c>
      <c r="C381" s="92" t="s">
        <v>1202</v>
      </c>
      <c r="D381" s="29">
        <v>3055.0</v>
      </c>
      <c r="E381" s="16">
        <v>2600.0</v>
      </c>
      <c r="F381" s="16"/>
      <c r="G381" s="1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75" t="s">
        <v>779</v>
      </c>
      <c r="B382" s="84" t="s">
        <v>1205</v>
      </c>
      <c r="C382" s="92" t="s">
        <v>1202</v>
      </c>
      <c r="D382" s="29">
        <v>6110.0</v>
      </c>
      <c r="E382" s="16">
        <v>5200.0</v>
      </c>
      <c r="F382" s="16"/>
      <c r="G382" s="1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75" t="s">
        <v>779</v>
      </c>
      <c r="B383" s="84" t="s">
        <v>23</v>
      </c>
      <c r="C383" s="92" t="s">
        <v>1202</v>
      </c>
      <c r="D383" s="29">
        <v>2650.0</v>
      </c>
      <c r="E383" s="16">
        <v>2250.0</v>
      </c>
      <c r="F383" s="16"/>
      <c r="G383" s="1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75" t="s">
        <v>781</v>
      </c>
      <c r="B384" s="84" t="s">
        <v>23</v>
      </c>
      <c r="C384" s="92" t="s">
        <v>1202</v>
      </c>
      <c r="D384" s="29">
        <v>9400.0</v>
      </c>
      <c r="E384" s="16">
        <v>8000.0</v>
      </c>
      <c r="F384" s="16"/>
      <c r="G384" s="1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110" t="s">
        <v>1005</v>
      </c>
      <c r="B385" s="84" t="s">
        <v>1228</v>
      </c>
      <c r="C385" s="92" t="s">
        <v>1202</v>
      </c>
      <c r="D385" s="29">
        <v>5500.0</v>
      </c>
      <c r="E385" s="16"/>
      <c r="F385" s="16"/>
      <c r="G385" s="1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75" t="s">
        <v>477</v>
      </c>
      <c r="B386" s="84" t="s">
        <v>23</v>
      </c>
      <c r="C386" s="92"/>
      <c r="D386" s="29">
        <v>1150.0</v>
      </c>
      <c r="E386" s="16"/>
      <c r="F386" s="16"/>
      <c r="G386" s="1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75" t="s">
        <v>314</v>
      </c>
      <c r="B387" s="84" t="s">
        <v>23</v>
      </c>
      <c r="C387" s="92" t="s">
        <v>1202</v>
      </c>
      <c r="D387" s="29">
        <v>1650.0</v>
      </c>
      <c r="E387" s="105"/>
      <c r="F387" s="16"/>
      <c r="G387" s="1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75" t="s">
        <v>678</v>
      </c>
      <c r="B388" s="84" t="s">
        <v>23</v>
      </c>
      <c r="C388" s="92" t="s">
        <v>1202</v>
      </c>
      <c r="D388" s="29">
        <v>6750.0</v>
      </c>
      <c r="E388" s="16"/>
      <c r="F388" s="16"/>
      <c r="G388" s="1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75" t="s">
        <v>678</v>
      </c>
      <c r="B389" s="84" t="s">
        <v>1205</v>
      </c>
      <c r="C389" s="92" t="s">
        <v>1202</v>
      </c>
      <c r="D389" s="29">
        <v>2250.0</v>
      </c>
      <c r="E389" s="16"/>
      <c r="F389" s="16"/>
      <c r="G389" s="1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75" t="s">
        <v>1007</v>
      </c>
      <c r="B390" s="84" t="s">
        <v>1206</v>
      </c>
      <c r="C390" s="92" t="s">
        <v>1202</v>
      </c>
      <c r="D390" s="29">
        <v>7800.0</v>
      </c>
      <c r="E390" s="16"/>
      <c r="F390" s="16"/>
      <c r="G390" s="1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75" t="s">
        <v>639</v>
      </c>
      <c r="B391" s="84" t="s">
        <v>1208</v>
      </c>
      <c r="C391" s="92" t="s">
        <v>1202</v>
      </c>
      <c r="D391" s="29">
        <v>960.0</v>
      </c>
      <c r="E391" s="16"/>
      <c r="F391" s="16"/>
      <c r="G391" s="1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75" t="s">
        <v>1166</v>
      </c>
      <c r="B392" s="84" t="s">
        <v>23</v>
      </c>
      <c r="C392" s="92" t="s">
        <v>1202</v>
      </c>
      <c r="D392" s="29">
        <v>3375.0</v>
      </c>
      <c r="E392" s="16"/>
      <c r="F392" s="16"/>
      <c r="G392" s="1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75" t="s">
        <v>1166</v>
      </c>
      <c r="B393" s="84" t="s">
        <v>1205</v>
      </c>
      <c r="C393" s="92" t="s">
        <v>1202</v>
      </c>
      <c r="D393" s="29">
        <v>1900.0</v>
      </c>
      <c r="E393" s="16"/>
      <c r="F393" s="16"/>
      <c r="G393" s="1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75" t="s">
        <v>479</v>
      </c>
      <c r="B394" s="84" t="s">
        <v>1208</v>
      </c>
      <c r="C394" s="92"/>
      <c r="D394" s="29">
        <v>805.0</v>
      </c>
      <c r="E394" s="16"/>
      <c r="F394" s="16"/>
      <c r="G394" s="1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75" t="s">
        <v>1114</v>
      </c>
      <c r="B395" s="84" t="s">
        <v>17</v>
      </c>
      <c r="C395" s="92"/>
      <c r="D395" s="29" t="s">
        <v>1229</v>
      </c>
      <c r="E395" s="16"/>
      <c r="F395" s="16"/>
      <c r="G395" s="1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75" t="s">
        <v>481</v>
      </c>
      <c r="B396" s="84" t="s">
        <v>1208</v>
      </c>
      <c r="C396" s="92" t="s">
        <v>1202</v>
      </c>
      <c r="D396" s="29">
        <v>935.0</v>
      </c>
      <c r="E396" s="16"/>
      <c r="F396" s="16"/>
      <c r="G396" s="1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75" t="s">
        <v>483</v>
      </c>
      <c r="B397" s="84" t="s">
        <v>23</v>
      </c>
      <c r="C397" s="92"/>
      <c r="D397" s="29">
        <v>2185.0</v>
      </c>
      <c r="E397" s="16"/>
      <c r="F397" s="16"/>
      <c r="G397" s="1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75" t="s">
        <v>1009</v>
      </c>
      <c r="B398" s="84" t="s">
        <v>1214</v>
      </c>
      <c r="C398" s="92" t="s">
        <v>1202</v>
      </c>
      <c r="D398" s="29">
        <v>660.0</v>
      </c>
      <c r="E398" s="16"/>
      <c r="F398" s="16"/>
      <c r="G398" s="1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75" t="s">
        <v>317</v>
      </c>
      <c r="B399" s="84" t="s">
        <v>17</v>
      </c>
      <c r="C399" s="92" t="s">
        <v>1202</v>
      </c>
      <c r="D399" s="29"/>
      <c r="E399" s="16"/>
      <c r="F399" s="16"/>
      <c r="G399" s="1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75" t="s">
        <v>430</v>
      </c>
      <c r="B400" s="84" t="s">
        <v>23</v>
      </c>
      <c r="C400" s="92" t="s">
        <v>1202</v>
      </c>
      <c r="D400" s="29">
        <v>12330.0</v>
      </c>
      <c r="E400" s="16">
        <v>10500.0</v>
      </c>
      <c r="F400" s="16"/>
      <c r="G400" s="1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75" t="s">
        <v>430</v>
      </c>
      <c r="B401" s="84" t="s">
        <v>1205</v>
      </c>
      <c r="C401" s="92" t="s">
        <v>1202</v>
      </c>
      <c r="D401" s="29">
        <v>7900.0</v>
      </c>
      <c r="E401" s="16">
        <v>6750.0</v>
      </c>
      <c r="F401" s="16"/>
      <c r="G401" s="1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75" t="s">
        <v>1116</v>
      </c>
      <c r="B402" s="84" t="s">
        <v>17</v>
      </c>
      <c r="C402" s="92"/>
      <c r="D402" s="29" t="s">
        <v>1229</v>
      </c>
      <c r="E402" s="16"/>
      <c r="F402" s="16"/>
      <c r="G402" s="1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75" t="s">
        <v>1011</v>
      </c>
      <c r="B403" s="84" t="s">
        <v>23</v>
      </c>
      <c r="C403" s="92" t="s">
        <v>1202</v>
      </c>
      <c r="D403" s="29">
        <v>17500.0</v>
      </c>
      <c r="E403" s="16"/>
      <c r="F403" s="16"/>
      <c r="G403" s="1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75" t="s">
        <v>1013</v>
      </c>
      <c r="B404" s="84" t="s">
        <v>17</v>
      </c>
      <c r="C404" s="92" t="s">
        <v>1202</v>
      </c>
      <c r="D404" s="29">
        <v>5780.0</v>
      </c>
      <c r="E404" s="16">
        <v>5500.0</v>
      </c>
      <c r="F404" s="16"/>
      <c r="G404" s="1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75" t="s">
        <v>641</v>
      </c>
      <c r="B405" s="84" t="s">
        <v>1208</v>
      </c>
      <c r="C405" s="92" t="s">
        <v>1202</v>
      </c>
      <c r="D405" s="29">
        <v>1125.0</v>
      </c>
      <c r="E405" s="16"/>
      <c r="F405" s="16"/>
      <c r="G405" s="1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75" t="s">
        <v>485</v>
      </c>
      <c r="B406" s="84" t="s">
        <v>23</v>
      </c>
      <c r="C406" s="92"/>
      <c r="D406" s="29">
        <v>14375.0</v>
      </c>
      <c r="E406" s="16"/>
      <c r="F406" s="16"/>
      <c r="G406" s="1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75" t="s">
        <v>326</v>
      </c>
      <c r="B407" s="84" t="s">
        <v>17</v>
      </c>
      <c r="C407" s="92" t="s">
        <v>1202</v>
      </c>
      <c r="D407" s="29">
        <v>600.0</v>
      </c>
      <c r="E407" s="16">
        <v>550.0</v>
      </c>
      <c r="F407" s="16"/>
      <c r="G407" s="1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75" t="s">
        <v>643</v>
      </c>
      <c r="B408" s="84" t="s">
        <v>1208</v>
      </c>
      <c r="C408" s="92" t="s">
        <v>1202</v>
      </c>
      <c r="D408" s="29">
        <v>960.0</v>
      </c>
      <c r="E408" s="16"/>
      <c r="F408" s="16"/>
      <c r="G408" s="1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102" t="s">
        <v>748</v>
      </c>
      <c r="B409" s="84" t="s">
        <v>23</v>
      </c>
      <c r="C409" s="92" t="s">
        <v>1207</v>
      </c>
      <c r="D409" s="29">
        <v>15500.0</v>
      </c>
      <c r="E409" s="16"/>
      <c r="F409" s="16"/>
      <c r="G409" s="1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75" t="s">
        <v>645</v>
      </c>
      <c r="B410" s="84" t="s">
        <v>1208</v>
      </c>
      <c r="C410" s="92" t="s">
        <v>1202</v>
      </c>
      <c r="D410" s="29">
        <v>960.0</v>
      </c>
      <c r="E410" s="16"/>
      <c r="F410" s="16"/>
      <c r="G410" s="1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75" t="s">
        <v>813</v>
      </c>
      <c r="B411" s="84" t="s">
        <v>1205</v>
      </c>
      <c r="C411" s="92" t="s">
        <v>1202</v>
      </c>
      <c r="D411" s="29">
        <v>4500.0</v>
      </c>
      <c r="E411" s="16"/>
      <c r="F411" s="16"/>
      <c r="G411" s="1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75" t="s">
        <v>813</v>
      </c>
      <c r="B412" s="84" t="s">
        <v>1256</v>
      </c>
      <c r="C412" s="92" t="s">
        <v>1202</v>
      </c>
      <c r="D412" s="29">
        <v>1870.0</v>
      </c>
      <c r="E412" s="16"/>
      <c r="F412" s="16"/>
      <c r="G412" s="1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75" t="s">
        <v>328</v>
      </c>
      <c r="B413" s="84" t="s">
        <v>17</v>
      </c>
      <c r="C413" s="92" t="s">
        <v>1202</v>
      </c>
      <c r="D413" s="29">
        <v>690.0</v>
      </c>
      <c r="E413" s="10">
        <v>600.0</v>
      </c>
      <c r="F413" s="10" t="s">
        <v>1267</v>
      </c>
      <c r="G413" s="2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75" t="s">
        <v>680</v>
      </c>
      <c r="B414" s="84" t="s">
        <v>17</v>
      </c>
      <c r="C414" s="92" t="s">
        <v>1207</v>
      </c>
      <c r="D414" s="29">
        <v>10690.0</v>
      </c>
      <c r="E414" s="16"/>
      <c r="F414" s="16"/>
      <c r="G414" s="1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75" t="s">
        <v>682</v>
      </c>
      <c r="B415" s="84" t="s">
        <v>1220</v>
      </c>
      <c r="C415" s="92"/>
      <c r="D415" s="29">
        <v>3375.0</v>
      </c>
      <c r="E415" s="16"/>
      <c r="F415" s="16"/>
      <c r="G415" s="1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75" t="s">
        <v>515</v>
      </c>
      <c r="B416" s="84" t="s">
        <v>23</v>
      </c>
      <c r="C416" s="92" t="s">
        <v>1202</v>
      </c>
      <c r="D416" s="29">
        <v>3050.0</v>
      </c>
      <c r="E416" s="16"/>
      <c r="F416" s="16"/>
      <c r="G416" s="1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75" t="s">
        <v>515</v>
      </c>
      <c r="B417" s="84" t="s">
        <v>1205</v>
      </c>
      <c r="C417" s="92" t="s">
        <v>1202</v>
      </c>
      <c r="D417" s="29">
        <v>1650.0</v>
      </c>
      <c r="E417" s="16"/>
      <c r="F417" s="16"/>
      <c r="G417" s="1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75" t="s">
        <v>331</v>
      </c>
      <c r="B418" s="84" t="s">
        <v>1218</v>
      </c>
      <c r="C418" s="92" t="s">
        <v>1202</v>
      </c>
      <c r="D418" s="29">
        <v>2100.0</v>
      </c>
      <c r="E418" s="105"/>
      <c r="F418" s="16"/>
      <c r="G418" s="1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75" t="s">
        <v>334</v>
      </c>
      <c r="B419" s="84" t="s">
        <v>17</v>
      </c>
      <c r="C419" s="92" t="s">
        <v>1202</v>
      </c>
      <c r="D419" s="29">
        <v>115.0</v>
      </c>
      <c r="E419" s="16"/>
      <c r="F419" s="16"/>
      <c r="G419" s="1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75" t="s">
        <v>336</v>
      </c>
      <c r="B420" s="84" t="s">
        <v>17</v>
      </c>
      <c r="C420" s="92" t="s">
        <v>1202</v>
      </c>
      <c r="D420" s="29">
        <v>800.0</v>
      </c>
      <c r="E420" s="16"/>
      <c r="F420" s="16"/>
      <c r="G420" s="1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02" t="s">
        <v>1179</v>
      </c>
      <c r="B421" s="84" t="s">
        <v>1216</v>
      </c>
      <c r="C421" s="92" t="s">
        <v>1202</v>
      </c>
      <c r="D421" s="29">
        <v>1125.0</v>
      </c>
      <c r="E421" s="16"/>
      <c r="F421" s="16"/>
      <c r="G421" s="1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75" t="s">
        <v>75</v>
      </c>
      <c r="B422" s="84" t="s">
        <v>23</v>
      </c>
      <c r="C422" s="92" t="s">
        <v>1202</v>
      </c>
      <c r="D422" s="29">
        <v>2650.0</v>
      </c>
      <c r="E422" s="16">
        <v>2500.0</v>
      </c>
      <c r="F422" s="16"/>
      <c r="G422" s="1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75" t="s">
        <v>340</v>
      </c>
      <c r="B423" s="84" t="s">
        <v>1218</v>
      </c>
      <c r="C423" s="92" t="s">
        <v>1202</v>
      </c>
      <c r="D423" s="29">
        <v>2200.0</v>
      </c>
      <c r="E423" s="105"/>
      <c r="F423" s="16"/>
      <c r="G423" s="1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75" t="s">
        <v>579</v>
      </c>
      <c r="B424" s="84" t="s">
        <v>23</v>
      </c>
      <c r="C424" s="92" t="s">
        <v>1202</v>
      </c>
      <c r="D424" s="29">
        <v>2530.0</v>
      </c>
      <c r="E424" s="16"/>
      <c r="F424" s="16"/>
      <c r="G424" s="1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75" t="s">
        <v>562</v>
      </c>
      <c r="B425" s="84" t="s">
        <v>1216</v>
      </c>
      <c r="C425" s="92" t="s">
        <v>1202</v>
      </c>
      <c r="D425" s="29">
        <v>2250.0</v>
      </c>
      <c r="E425" s="16"/>
      <c r="F425" s="16"/>
      <c r="G425" s="1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75" t="s">
        <v>1020</v>
      </c>
      <c r="B426" s="84" t="s">
        <v>1227</v>
      </c>
      <c r="C426" s="92" t="s">
        <v>1202</v>
      </c>
      <c r="D426" s="29">
        <v>2815.0</v>
      </c>
      <c r="E426" s="16"/>
      <c r="F426" s="16"/>
      <c r="G426" s="1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75" t="s">
        <v>564</v>
      </c>
      <c r="B427" s="84" t="s">
        <v>1216</v>
      </c>
      <c r="C427" s="92" t="s">
        <v>1202</v>
      </c>
      <c r="D427" s="29">
        <v>2000.0</v>
      </c>
      <c r="E427" s="16"/>
      <c r="F427" s="16"/>
      <c r="G427" s="1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75" t="s">
        <v>1024</v>
      </c>
      <c r="B428" s="84" t="s">
        <v>17</v>
      </c>
      <c r="C428" s="92" t="s">
        <v>1202</v>
      </c>
      <c r="D428" s="29">
        <v>4200.0</v>
      </c>
      <c r="E428" s="16"/>
      <c r="F428" s="16"/>
      <c r="G428" s="1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75" t="s">
        <v>432</v>
      </c>
      <c r="B429" s="84" t="s">
        <v>1205</v>
      </c>
      <c r="C429" s="92" t="s">
        <v>1202</v>
      </c>
      <c r="D429" s="29">
        <v>10125.0</v>
      </c>
      <c r="E429" s="16">
        <v>9000.0</v>
      </c>
      <c r="F429" s="16"/>
      <c r="G429" s="1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75" t="s">
        <v>344</v>
      </c>
      <c r="B430" s="84" t="s">
        <v>17</v>
      </c>
      <c r="C430" s="92" t="s">
        <v>1202</v>
      </c>
      <c r="D430" s="29">
        <v>950.0</v>
      </c>
      <c r="E430" s="105"/>
      <c r="F430" s="106"/>
      <c r="G430" s="10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102" t="s">
        <v>553</v>
      </c>
      <c r="B431" s="84" t="s">
        <v>23</v>
      </c>
      <c r="C431" s="92" t="s">
        <v>1202</v>
      </c>
      <c r="D431" s="29">
        <v>1400.0</v>
      </c>
      <c r="E431" s="16"/>
      <c r="F431" s="16"/>
      <c r="G431" s="1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75" t="s">
        <v>1026</v>
      </c>
      <c r="B432" s="84" t="s">
        <v>17</v>
      </c>
      <c r="C432" s="92" t="s">
        <v>1233</v>
      </c>
      <c r="D432" s="29">
        <v>5650.0</v>
      </c>
      <c r="E432" s="16"/>
      <c r="F432" s="16"/>
      <c r="G432" s="1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75" t="s">
        <v>1028</v>
      </c>
      <c r="B433" s="84" t="s">
        <v>1214</v>
      </c>
      <c r="C433" s="92" t="s">
        <v>1202</v>
      </c>
      <c r="D433" s="29">
        <v>440.0</v>
      </c>
      <c r="E433" s="16"/>
      <c r="F433" s="16"/>
      <c r="G433" s="1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110" t="s">
        <v>1028</v>
      </c>
      <c r="B434" s="84" t="s">
        <v>1228</v>
      </c>
      <c r="C434" s="92" t="s">
        <v>1202</v>
      </c>
      <c r="D434" s="29">
        <v>2200.0</v>
      </c>
      <c r="E434" s="16"/>
      <c r="F434" s="16"/>
      <c r="G434" s="1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75" t="s">
        <v>487</v>
      </c>
      <c r="B435" s="84" t="s">
        <v>1268</v>
      </c>
      <c r="C435" s="92"/>
      <c r="D435" s="29">
        <v>11500.0</v>
      </c>
      <c r="E435" s="16"/>
      <c r="F435" s="16"/>
      <c r="G435" s="1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75" t="s">
        <v>489</v>
      </c>
      <c r="B436" s="84" t="s">
        <v>23</v>
      </c>
      <c r="C436" s="92"/>
      <c r="D436" s="29">
        <v>3450.0</v>
      </c>
      <c r="E436" s="16"/>
      <c r="F436" s="16"/>
      <c r="G436" s="1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75" t="s">
        <v>489</v>
      </c>
      <c r="B437" s="84" t="s">
        <v>1208</v>
      </c>
      <c r="C437" s="92"/>
      <c r="D437" s="29">
        <v>750.0</v>
      </c>
      <c r="E437" s="16"/>
      <c r="F437" s="16"/>
      <c r="G437" s="1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75" t="s">
        <v>815</v>
      </c>
      <c r="B438" s="84" t="s">
        <v>1214</v>
      </c>
      <c r="C438" s="92" t="s">
        <v>1202</v>
      </c>
      <c r="D438" s="29">
        <v>2420.0</v>
      </c>
      <c r="E438" s="16"/>
      <c r="F438" s="16"/>
      <c r="G438" s="1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110" t="s">
        <v>815</v>
      </c>
      <c r="B439" s="84" t="s">
        <v>1228</v>
      </c>
      <c r="C439" s="92" t="s">
        <v>1202</v>
      </c>
      <c r="D439" s="29">
        <v>3300.0</v>
      </c>
      <c r="E439" s="16"/>
      <c r="F439" s="16"/>
      <c r="G439" s="1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110" t="s">
        <v>815</v>
      </c>
      <c r="B440" s="84" t="s">
        <v>1228</v>
      </c>
      <c r="C440" s="92" t="s">
        <v>1202</v>
      </c>
      <c r="D440" s="29">
        <v>2420.0</v>
      </c>
      <c r="E440" s="16"/>
      <c r="F440" s="16"/>
      <c r="G440" s="1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75" t="s">
        <v>434</v>
      </c>
      <c r="B441" s="84" t="s">
        <v>23</v>
      </c>
      <c r="C441" s="92" t="s">
        <v>1202</v>
      </c>
      <c r="D441" s="29">
        <v>1650.0</v>
      </c>
      <c r="E441" s="16"/>
      <c r="F441" s="16"/>
      <c r="G441" s="1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75" t="s">
        <v>581</v>
      </c>
      <c r="B442" s="84" t="s">
        <v>23</v>
      </c>
      <c r="C442" s="92" t="s">
        <v>1202</v>
      </c>
      <c r="D442" s="29">
        <v>2250.0</v>
      </c>
      <c r="E442" s="16"/>
      <c r="F442" s="16"/>
      <c r="G442" s="1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75" t="s">
        <v>1031</v>
      </c>
      <c r="B443" s="84" t="s">
        <v>23</v>
      </c>
      <c r="C443" s="92" t="s">
        <v>1202</v>
      </c>
      <c r="D443" s="29">
        <v>6600.0</v>
      </c>
      <c r="E443" s="16"/>
      <c r="F443" s="16"/>
      <c r="G443" s="1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102" t="s">
        <v>1033</v>
      </c>
      <c r="B444" s="84" t="s">
        <v>1228</v>
      </c>
      <c r="C444" s="92" t="s">
        <v>1202</v>
      </c>
      <c r="D444" s="29">
        <v>1485.0</v>
      </c>
      <c r="E444" s="16"/>
      <c r="F444" s="16"/>
      <c r="G444" s="1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75" t="s">
        <v>707</v>
      </c>
      <c r="B445" s="84" t="s">
        <v>23</v>
      </c>
      <c r="C445" s="92" t="s">
        <v>1202</v>
      </c>
      <c r="D445" s="29" t="s">
        <v>1211</v>
      </c>
      <c r="E445" s="16"/>
      <c r="F445" s="16"/>
      <c r="G445" s="1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75" t="s">
        <v>346</v>
      </c>
      <c r="B446" s="84" t="s">
        <v>1218</v>
      </c>
      <c r="C446" s="92" t="s">
        <v>1202</v>
      </c>
      <c r="D446" s="29">
        <v>2300.0</v>
      </c>
      <c r="E446" s="105"/>
      <c r="F446" s="16"/>
      <c r="G446" s="1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75" t="s">
        <v>817</v>
      </c>
      <c r="B447" s="84" t="s">
        <v>1205</v>
      </c>
      <c r="C447" s="92" t="s">
        <v>1202</v>
      </c>
      <c r="D447" s="29">
        <v>16450.0</v>
      </c>
      <c r="E447" s="16">
        <v>14000.0</v>
      </c>
      <c r="F447" s="16"/>
      <c r="G447" s="1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75" t="s">
        <v>817</v>
      </c>
      <c r="B448" s="84" t="s">
        <v>23</v>
      </c>
      <c r="C448" s="92" t="s">
        <v>1202</v>
      </c>
      <c r="D448" s="29">
        <v>29375.0</v>
      </c>
      <c r="E448" s="16">
        <v>25000.0</v>
      </c>
      <c r="F448" s="16"/>
      <c r="G448" s="1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75" t="s">
        <v>817</v>
      </c>
      <c r="B449" s="84" t="s">
        <v>1243</v>
      </c>
      <c r="C449" s="92" t="s">
        <v>1202</v>
      </c>
      <c r="D449" s="29">
        <v>8225.0</v>
      </c>
      <c r="E449" s="16">
        <v>7000.0</v>
      </c>
      <c r="F449" s="16"/>
      <c r="G449" s="1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75" t="s">
        <v>817</v>
      </c>
      <c r="B450" s="84" t="s">
        <v>1208</v>
      </c>
      <c r="C450" s="92" t="s">
        <v>1202</v>
      </c>
      <c r="D450" s="29">
        <v>5875.0</v>
      </c>
      <c r="E450" s="16">
        <v>5000.0</v>
      </c>
      <c r="F450" s="16"/>
      <c r="G450" s="1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110" t="s">
        <v>817</v>
      </c>
      <c r="B451" s="84" t="s">
        <v>1228</v>
      </c>
      <c r="C451" s="92" t="s">
        <v>1202</v>
      </c>
      <c r="D451" s="29">
        <v>11000.0</v>
      </c>
      <c r="E451" s="16"/>
      <c r="F451" s="16"/>
      <c r="G451" s="1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75" t="s">
        <v>819</v>
      </c>
      <c r="B452" s="84" t="s">
        <v>1269</v>
      </c>
      <c r="C452" s="92" t="s">
        <v>1226</v>
      </c>
      <c r="D452" s="29">
        <v>23000.0</v>
      </c>
      <c r="E452" s="16"/>
      <c r="F452" s="16"/>
      <c r="G452" s="1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75" t="s">
        <v>1035</v>
      </c>
      <c r="B453" s="84" t="s">
        <v>17</v>
      </c>
      <c r="C453" s="92" t="s">
        <v>1202</v>
      </c>
      <c r="D453" s="29">
        <v>11000.0</v>
      </c>
      <c r="E453" s="16"/>
      <c r="F453" s="16"/>
      <c r="G453" s="1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75" t="s">
        <v>1035</v>
      </c>
      <c r="B454" s="84" t="s">
        <v>17</v>
      </c>
      <c r="C454" s="92" t="s">
        <v>1219</v>
      </c>
      <c r="D454" s="29">
        <v>33000.0</v>
      </c>
      <c r="E454" s="16"/>
      <c r="F454" s="16"/>
      <c r="G454" s="1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75" t="s">
        <v>1037</v>
      </c>
      <c r="B455" s="84" t="s">
        <v>1270</v>
      </c>
      <c r="C455" s="92" t="s">
        <v>1202</v>
      </c>
      <c r="D455" s="29">
        <v>13200.0</v>
      </c>
      <c r="E455" s="16"/>
      <c r="F455" s="16"/>
      <c r="G455" s="1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75" t="s">
        <v>647</v>
      </c>
      <c r="B456" s="84" t="s">
        <v>1208</v>
      </c>
      <c r="C456" s="92" t="s">
        <v>1202</v>
      </c>
      <c r="D456" s="29">
        <v>960.0</v>
      </c>
      <c r="E456" s="16"/>
      <c r="F456" s="16"/>
      <c r="G456" s="1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75" t="s">
        <v>1039</v>
      </c>
      <c r="B457" s="84" t="s">
        <v>1210</v>
      </c>
      <c r="C457" s="92" t="s">
        <v>1202</v>
      </c>
      <c r="D457" s="29">
        <v>5550.0</v>
      </c>
      <c r="E457" s="16">
        <v>5250.0</v>
      </c>
      <c r="F457" s="16"/>
      <c r="G457" s="1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75" t="s">
        <v>517</v>
      </c>
      <c r="B458" s="84" t="s">
        <v>23</v>
      </c>
      <c r="C458" s="92" t="s">
        <v>1202</v>
      </c>
      <c r="D458" s="29">
        <v>1630.0</v>
      </c>
      <c r="E458" s="16"/>
      <c r="F458" s="16"/>
      <c r="G458" s="1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75" t="s">
        <v>566</v>
      </c>
      <c r="B459" s="84" t="s">
        <v>1216</v>
      </c>
      <c r="C459" s="92" t="s">
        <v>1202</v>
      </c>
      <c r="D459" s="29">
        <v>2000.0</v>
      </c>
      <c r="E459" s="16"/>
      <c r="F459" s="16"/>
      <c r="G459" s="1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75" t="s">
        <v>436</v>
      </c>
      <c r="B460" s="84" t="s">
        <v>23</v>
      </c>
      <c r="C460" s="92" t="s">
        <v>1202</v>
      </c>
      <c r="D460" s="29">
        <v>3500.0</v>
      </c>
      <c r="E460" s="16">
        <v>3200.0</v>
      </c>
      <c r="F460" s="16"/>
      <c r="G460" s="1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75" t="s">
        <v>436</v>
      </c>
      <c r="B461" s="84" t="s">
        <v>23</v>
      </c>
      <c r="C461" s="92" t="s">
        <v>1202</v>
      </c>
      <c r="D461" s="29">
        <v>2830.0</v>
      </c>
      <c r="E461" s="16">
        <v>2500.0</v>
      </c>
      <c r="F461" s="16"/>
      <c r="G461" s="1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75" t="s">
        <v>1168</v>
      </c>
      <c r="B462" s="84" t="s">
        <v>23</v>
      </c>
      <c r="C462" s="92" t="s">
        <v>1202</v>
      </c>
      <c r="D462" s="29">
        <v>3650.0</v>
      </c>
      <c r="E462" s="16"/>
      <c r="F462" s="16"/>
      <c r="G462" s="1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75" t="s">
        <v>1168</v>
      </c>
      <c r="B463" s="84" t="s">
        <v>1205</v>
      </c>
      <c r="C463" s="92" t="s">
        <v>1202</v>
      </c>
      <c r="D463" s="29">
        <v>1690.0</v>
      </c>
      <c r="E463" s="16"/>
      <c r="F463" s="16"/>
      <c r="G463" s="1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102" t="s">
        <v>1042</v>
      </c>
      <c r="B464" s="84" t="s">
        <v>1228</v>
      </c>
      <c r="C464" s="92" t="s">
        <v>1202</v>
      </c>
      <c r="D464" s="29">
        <v>11000.0</v>
      </c>
      <c r="E464" s="16"/>
      <c r="F464" s="16"/>
      <c r="G464" s="1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75" t="s">
        <v>1044</v>
      </c>
      <c r="B465" s="84" t="s">
        <v>1205</v>
      </c>
      <c r="C465" s="92" t="s">
        <v>1271</v>
      </c>
      <c r="D465" s="29">
        <v>23400.0</v>
      </c>
      <c r="E465" s="16">
        <v>20000.0</v>
      </c>
      <c r="F465" s="16"/>
      <c r="G465" s="1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75" t="s">
        <v>1044</v>
      </c>
      <c r="B466" s="84" t="s">
        <v>23</v>
      </c>
      <c r="C466" s="92" t="s">
        <v>1202</v>
      </c>
      <c r="D466" s="29">
        <v>25000.0</v>
      </c>
      <c r="E466" s="16"/>
      <c r="F466" s="16"/>
      <c r="G466" s="1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75" t="s">
        <v>1044</v>
      </c>
      <c r="B467" s="84" t="s">
        <v>17</v>
      </c>
      <c r="C467" s="92" t="s">
        <v>1202</v>
      </c>
      <c r="D467" s="29">
        <v>3500.0</v>
      </c>
      <c r="E467" s="16"/>
      <c r="F467" s="16"/>
      <c r="G467" s="1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75" t="s">
        <v>348</v>
      </c>
      <c r="B468" s="84" t="s">
        <v>17</v>
      </c>
      <c r="C468" s="92" t="s">
        <v>1202</v>
      </c>
      <c r="D468" s="29">
        <v>460.0</v>
      </c>
      <c r="E468" s="10">
        <v>400.0</v>
      </c>
      <c r="F468" s="28"/>
      <c r="G468" s="2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75" t="s">
        <v>1046</v>
      </c>
      <c r="B469" s="84" t="s">
        <v>1205</v>
      </c>
      <c r="C469" s="92" t="s">
        <v>1202</v>
      </c>
      <c r="D469" s="29">
        <v>22000.0</v>
      </c>
      <c r="E469" s="16"/>
      <c r="F469" s="16"/>
      <c r="G469" s="1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75" t="s">
        <v>438</v>
      </c>
      <c r="B470" s="84" t="s">
        <v>17</v>
      </c>
      <c r="C470" s="92" t="s">
        <v>1202</v>
      </c>
      <c r="D470" s="29">
        <v>1080.0</v>
      </c>
      <c r="E470" s="16">
        <v>950.0</v>
      </c>
      <c r="F470" s="16"/>
      <c r="G470" s="1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75" t="s">
        <v>85</v>
      </c>
      <c r="B471" s="84" t="s">
        <v>1272</v>
      </c>
      <c r="C471" s="92" t="s">
        <v>1207</v>
      </c>
      <c r="D471" s="29">
        <v>90000.0</v>
      </c>
      <c r="E471" s="16"/>
      <c r="F471" s="16"/>
      <c r="G471" s="1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75" t="s">
        <v>649</v>
      </c>
      <c r="B472" s="84" t="s">
        <v>1208</v>
      </c>
      <c r="C472" s="92" t="s">
        <v>1202</v>
      </c>
      <c r="D472" s="29">
        <v>960.0</v>
      </c>
      <c r="E472" s="16"/>
      <c r="F472" s="16"/>
      <c r="G472" s="1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75" t="s">
        <v>353</v>
      </c>
      <c r="B473" s="84" t="s">
        <v>17</v>
      </c>
      <c r="C473" s="92" t="s">
        <v>1202</v>
      </c>
      <c r="D473" s="29">
        <v>780.0</v>
      </c>
      <c r="E473" s="16"/>
      <c r="F473" s="16"/>
      <c r="G473" s="1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75" t="s">
        <v>353</v>
      </c>
      <c r="B474" s="84" t="s">
        <v>17</v>
      </c>
      <c r="C474" s="92" t="s">
        <v>1233</v>
      </c>
      <c r="D474" s="29">
        <v>1920.0</v>
      </c>
      <c r="E474" s="16"/>
      <c r="F474" s="16"/>
      <c r="G474" s="1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75" t="s">
        <v>1048</v>
      </c>
      <c r="B475" s="84" t="s">
        <v>1214</v>
      </c>
      <c r="C475" s="92" t="s">
        <v>1202</v>
      </c>
      <c r="D475" s="29">
        <v>660.0</v>
      </c>
      <c r="E475" s="16"/>
      <c r="F475" s="16"/>
      <c r="G475" s="1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75" t="s">
        <v>1050</v>
      </c>
      <c r="B476" s="84" t="s">
        <v>1205</v>
      </c>
      <c r="C476" s="92" t="s">
        <v>1202</v>
      </c>
      <c r="D476" s="29">
        <v>44000.0</v>
      </c>
      <c r="E476" s="16"/>
      <c r="F476" s="16"/>
      <c r="G476" s="1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75" t="s">
        <v>440</v>
      </c>
      <c r="B477" s="84" t="s">
        <v>23</v>
      </c>
      <c r="C477" s="92" t="s">
        <v>1202</v>
      </c>
      <c r="D477" s="29">
        <v>3500.0</v>
      </c>
      <c r="E477" s="16">
        <v>3250.0</v>
      </c>
      <c r="F477" s="16"/>
      <c r="G477" s="1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75" t="s">
        <v>440</v>
      </c>
      <c r="B478" s="84" t="s">
        <v>23</v>
      </c>
      <c r="C478" s="92" t="s">
        <v>1202</v>
      </c>
      <c r="D478" s="29">
        <v>2490.0</v>
      </c>
      <c r="E478" s="16">
        <v>2200.0</v>
      </c>
      <c r="F478" s="16"/>
      <c r="G478" s="1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75" t="s">
        <v>355</v>
      </c>
      <c r="B479" s="84" t="s">
        <v>17</v>
      </c>
      <c r="C479" s="92" t="s">
        <v>1202</v>
      </c>
      <c r="D479" s="29">
        <v>575.0</v>
      </c>
      <c r="E479" s="16">
        <v>500.0</v>
      </c>
      <c r="F479" s="16"/>
      <c r="G479" s="1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75" t="s">
        <v>651</v>
      </c>
      <c r="B480" s="84" t="s">
        <v>1208</v>
      </c>
      <c r="C480" s="92" t="s">
        <v>1202</v>
      </c>
      <c r="D480" s="29">
        <v>1350.0</v>
      </c>
      <c r="E480" s="16"/>
      <c r="F480" s="16"/>
      <c r="G480" s="1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75" t="s">
        <v>653</v>
      </c>
      <c r="B481" s="84" t="s">
        <v>1208</v>
      </c>
      <c r="C481" s="92" t="s">
        <v>1202</v>
      </c>
      <c r="D481" s="29">
        <v>960.0</v>
      </c>
      <c r="E481" s="16"/>
      <c r="F481" s="16"/>
      <c r="G481" s="1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102" t="s">
        <v>709</v>
      </c>
      <c r="B482" s="84" t="s">
        <v>1205</v>
      </c>
      <c r="C482" s="92" t="s">
        <v>1202</v>
      </c>
      <c r="D482" s="29">
        <v>12375.0</v>
      </c>
      <c r="E482" s="16"/>
      <c r="F482" s="16"/>
      <c r="G482" s="1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102" t="s">
        <v>709</v>
      </c>
      <c r="B483" s="84" t="s">
        <v>1216</v>
      </c>
      <c r="C483" s="92" t="s">
        <v>1202</v>
      </c>
      <c r="D483" s="29">
        <v>9000.0</v>
      </c>
      <c r="E483" s="16"/>
      <c r="F483" s="16"/>
      <c r="G483" s="1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102" t="s">
        <v>709</v>
      </c>
      <c r="B484" s="84" t="s">
        <v>1214</v>
      </c>
      <c r="C484" s="92" t="s">
        <v>1202</v>
      </c>
      <c r="D484" s="29">
        <v>6200.0</v>
      </c>
      <c r="E484" s="16"/>
      <c r="F484" s="16"/>
      <c r="G484" s="1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75" t="s">
        <v>1052</v>
      </c>
      <c r="B485" s="84" t="s">
        <v>1224</v>
      </c>
      <c r="C485" s="92" t="s">
        <v>1273</v>
      </c>
      <c r="D485" s="29">
        <v>1980.0</v>
      </c>
      <c r="E485" s="16"/>
      <c r="F485" s="16"/>
      <c r="G485" s="1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75" t="s">
        <v>359</v>
      </c>
      <c r="B486" s="84" t="s">
        <v>17</v>
      </c>
      <c r="C486" s="92" t="s">
        <v>1202</v>
      </c>
      <c r="D486" s="29">
        <v>600.0</v>
      </c>
      <c r="E486" s="105"/>
      <c r="F486" s="106"/>
      <c r="G486" s="10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75" t="s">
        <v>821</v>
      </c>
      <c r="B487" s="84" t="s">
        <v>17</v>
      </c>
      <c r="C487" s="92" t="s">
        <v>1202</v>
      </c>
      <c r="D487" s="29">
        <v>2300.0</v>
      </c>
      <c r="E487" s="16">
        <v>2000.0</v>
      </c>
      <c r="F487" s="16"/>
      <c r="G487" s="1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75" t="s">
        <v>821</v>
      </c>
      <c r="B488" s="84" t="s">
        <v>1248</v>
      </c>
      <c r="C488" s="92" t="s">
        <v>1202</v>
      </c>
      <c r="D488" s="29">
        <v>3400.0</v>
      </c>
      <c r="E488" s="16">
        <v>3000.0</v>
      </c>
      <c r="F488" s="16"/>
      <c r="G488" s="1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75" t="s">
        <v>821</v>
      </c>
      <c r="B489" s="84" t="s">
        <v>1208</v>
      </c>
      <c r="C489" s="92" t="s">
        <v>1202</v>
      </c>
      <c r="D489" s="29">
        <v>1450.0</v>
      </c>
      <c r="E489" s="16">
        <v>1250.0</v>
      </c>
      <c r="F489" s="16"/>
      <c r="G489" s="1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75" t="s">
        <v>821</v>
      </c>
      <c r="B490" s="84" t="s">
        <v>1205</v>
      </c>
      <c r="C490" s="92" t="s">
        <v>1202</v>
      </c>
      <c r="D490" s="29">
        <v>2300.0</v>
      </c>
      <c r="E490" s="16">
        <v>2000.0</v>
      </c>
      <c r="F490" s="16"/>
      <c r="G490" s="1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75" t="s">
        <v>76</v>
      </c>
      <c r="B491" s="84" t="s">
        <v>23</v>
      </c>
      <c r="C491" s="92" t="s">
        <v>1202</v>
      </c>
      <c r="D491" s="29">
        <v>3150.0</v>
      </c>
      <c r="E491" s="16">
        <v>3000.0</v>
      </c>
      <c r="F491" s="16"/>
      <c r="G491" s="1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75" t="s">
        <v>362</v>
      </c>
      <c r="B492" s="84" t="s">
        <v>17</v>
      </c>
      <c r="C492" s="92" t="s">
        <v>1207</v>
      </c>
      <c r="D492" s="29">
        <v>6900.0</v>
      </c>
      <c r="E492" s="105"/>
      <c r="F492" s="106"/>
      <c r="G492" s="10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75" t="s">
        <v>442</v>
      </c>
      <c r="B493" s="84" t="s">
        <v>17</v>
      </c>
      <c r="C493" s="92" t="s">
        <v>1202</v>
      </c>
      <c r="D493" s="29">
        <v>2060.0</v>
      </c>
      <c r="E493" s="16">
        <v>1750.0</v>
      </c>
      <c r="F493" s="16"/>
      <c r="G493" s="1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75" t="s">
        <v>442</v>
      </c>
      <c r="B494" s="84" t="s">
        <v>1205</v>
      </c>
      <c r="C494" s="92" t="s">
        <v>1202</v>
      </c>
      <c r="D494" s="29">
        <v>2940.0</v>
      </c>
      <c r="E494" s="16">
        <v>2500.0</v>
      </c>
      <c r="F494" s="16"/>
      <c r="G494" s="1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75" t="s">
        <v>1274</v>
      </c>
      <c r="B495" s="84" t="s">
        <v>1210</v>
      </c>
      <c r="C495" s="92" t="s">
        <v>1202</v>
      </c>
      <c r="D495" s="29">
        <v>5520.0</v>
      </c>
      <c r="E495" s="16"/>
      <c r="F495" s="16"/>
      <c r="G495" s="1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75" t="s">
        <v>1054</v>
      </c>
      <c r="B496" s="84" t="s">
        <v>1206</v>
      </c>
      <c r="C496" s="92" t="s">
        <v>1202</v>
      </c>
      <c r="D496" s="29">
        <v>5700.0</v>
      </c>
      <c r="E496" s="16"/>
      <c r="F496" s="16"/>
      <c r="G496" s="1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75" t="s">
        <v>711</v>
      </c>
      <c r="B497" s="84" t="s">
        <v>1205</v>
      </c>
      <c r="C497" s="92" t="s">
        <v>1202</v>
      </c>
      <c r="D497" s="29">
        <v>8810.0</v>
      </c>
      <c r="E497" s="16">
        <v>7500.0</v>
      </c>
      <c r="F497" s="16"/>
      <c r="G497" s="1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75" t="s">
        <v>711</v>
      </c>
      <c r="B498" s="84" t="s">
        <v>1205</v>
      </c>
      <c r="C498" s="92" t="s">
        <v>1219</v>
      </c>
      <c r="D498" s="29">
        <v>29375.0</v>
      </c>
      <c r="E498" s="16">
        <v>25000.0</v>
      </c>
      <c r="F498" s="16"/>
      <c r="G498" s="1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75" t="s">
        <v>492</v>
      </c>
      <c r="B499" s="84" t="s">
        <v>23</v>
      </c>
      <c r="C499" s="92"/>
      <c r="D499" s="29">
        <v>4025.0</v>
      </c>
      <c r="E499" s="16"/>
      <c r="F499" s="16"/>
      <c r="G499" s="1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75" t="s">
        <v>1056</v>
      </c>
      <c r="B500" s="84" t="s">
        <v>1210</v>
      </c>
      <c r="C500" s="92" t="s">
        <v>1202</v>
      </c>
      <c r="D500" s="29">
        <v>4700.0</v>
      </c>
      <c r="E500" s="16">
        <v>4000.0</v>
      </c>
      <c r="F500" s="16"/>
      <c r="G500" s="1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75" t="s">
        <v>1056</v>
      </c>
      <c r="B501" s="84" t="s">
        <v>1205</v>
      </c>
      <c r="C501" s="92" t="s">
        <v>1202</v>
      </c>
      <c r="D501" s="29">
        <v>23500.0</v>
      </c>
      <c r="E501" s="16">
        <v>20000.0</v>
      </c>
      <c r="F501" s="16"/>
      <c r="G501" s="1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75" t="s">
        <v>1056</v>
      </c>
      <c r="B502" s="84" t="s">
        <v>1275</v>
      </c>
      <c r="C502" s="92" t="s">
        <v>1202</v>
      </c>
      <c r="D502" s="29">
        <v>14680.0</v>
      </c>
      <c r="E502" s="16">
        <v>12500.0</v>
      </c>
      <c r="F502" s="16"/>
      <c r="G502" s="1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75" t="s">
        <v>1056</v>
      </c>
      <c r="B503" s="84" t="s">
        <v>1276</v>
      </c>
      <c r="C503" s="92" t="s">
        <v>1202</v>
      </c>
      <c r="D503" s="29">
        <v>7600.0</v>
      </c>
      <c r="E503" s="16">
        <v>6500.0</v>
      </c>
      <c r="F503" s="16"/>
      <c r="G503" s="1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75" t="s">
        <v>1056</v>
      </c>
      <c r="B504" s="84" t="s">
        <v>1277</v>
      </c>
      <c r="C504" s="92" t="s">
        <v>1202</v>
      </c>
      <c r="D504" s="29">
        <v>41125.0</v>
      </c>
      <c r="E504" s="16">
        <v>35000.0</v>
      </c>
      <c r="F504" s="16"/>
      <c r="G504" s="1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75" t="s">
        <v>1058</v>
      </c>
      <c r="B505" s="84" t="s">
        <v>1278</v>
      </c>
      <c r="C505" s="92" t="s">
        <v>1202</v>
      </c>
      <c r="D505" s="29">
        <v>1265.0</v>
      </c>
      <c r="E505" s="16"/>
      <c r="F505" s="16"/>
      <c r="G505" s="1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102" t="s">
        <v>1060</v>
      </c>
      <c r="B506" s="84" t="s">
        <v>1228</v>
      </c>
      <c r="C506" s="92" t="s">
        <v>1202</v>
      </c>
      <c r="D506" s="29">
        <v>2200.0</v>
      </c>
      <c r="E506" s="16"/>
      <c r="F506" s="16"/>
      <c r="G506" s="1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110" t="s">
        <v>1062</v>
      </c>
      <c r="B507" s="84" t="s">
        <v>1228</v>
      </c>
      <c r="C507" s="92" t="s">
        <v>1202</v>
      </c>
      <c r="D507" s="29">
        <v>3960.0</v>
      </c>
      <c r="E507" s="16"/>
      <c r="F507" s="16"/>
      <c r="G507" s="1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110" t="s">
        <v>1064</v>
      </c>
      <c r="B508" s="84" t="s">
        <v>1228</v>
      </c>
      <c r="C508" s="92" t="s">
        <v>1207</v>
      </c>
      <c r="D508" s="29">
        <v>14850.0</v>
      </c>
      <c r="E508" s="16"/>
      <c r="F508" s="16"/>
      <c r="G508" s="1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75" t="s">
        <v>583</v>
      </c>
      <c r="B509" s="84" t="s">
        <v>23</v>
      </c>
      <c r="C509" s="92" t="s">
        <v>1202</v>
      </c>
      <c r="D509" s="29">
        <v>2815.0</v>
      </c>
      <c r="E509" s="16"/>
      <c r="F509" s="16"/>
      <c r="G509" s="1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110" t="s">
        <v>823</v>
      </c>
      <c r="B510" s="84" t="s">
        <v>1228</v>
      </c>
      <c r="C510" s="92" t="s">
        <v>1207</v>
      </c>
      <c r="D510" s="29">
        <v>5280.0</v>
      </c>
      <c r="E510" s="16"/>
      <c r="F510" s="16"/>
      <c r="G510" s="1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75" t="s">
        <v>832</v>
      </c>
      <c r="B511" s="84" t="s">
        <v>1227</v>
      </c>
      <c r="C511" s="92" t="s">
        <v>1202</v>
      </c>
      <c r="D511" s="29" t="s">
        <v>1229</v>
      </c>
      <c r="E511" s="16"/>
      <c r="F511" s="16"/>
      <c r="G511" s="1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102" t="s">
        <v>713</v>
      </c>
      <c r="B512" s="84" t="s">
        <v>1205</v>
      </c>
      <c r="C512" s="92" t="s">
        <v>1233</v>
      </c>
      <c r="D512" s="29">
        <v>5875.0</v>
      </c>
      <c r="E512" s="16">
        <v>5000.0</v>
      </c>
      <c r="F512" s="16"/>
      <c r="G512" s="1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102" t="s">
        <v>750</v>
      </c>
      <c r="B513" s="84" t="s">
        <v>1205</v>
      </c>
      <c r="C513" s="92" t="s">
        <v>1207</v>
      </c>
      <c r="D513" s="29">
        <v>5750.0</v>
      </c>
      <c r="E513" s="16"/>
      <c r="F513" s="16"/>
      <c r="G513" s="1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102" t="s">
        <v>750</v>
      </c>
      <c r="B514" s="84" t="s">
        <v>23</v>
      </c>
      <c r="C514" s="92" t="s">
        <v>1207</v>
      </c>
      <c r="D514" s="29">
        <v>8000.0</v>
      </c>
      <c r="E514" s="16"/>
      <c r="F514" s="16"/>
      <c r="G514" s="1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75" t="s">
        <v>684</v>
      </c>
      <c r="B515" s="84" t="s">
        <v>17</v>
      </c>
      <c r="C515" s="92" t="s">
        <v>1207</v>
      </c>
      <c r="D515" s="29">
        <v>10690.0</v>
      </c>
      <c r="E515" s="16"/>
      <c r="F515" s="16"/>
      <c r="G515" s="1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75" t="s">
        <v>1067</v>
      </c>
      <c r="B516" s="84" t="s">
        <v>17</v>
      </c>
      <c r="C516" s="92" t="s">
        <v>1202</v>
      </c>
      <c r="D516" s="29">
        <v>3950.0</v>
      </c>
      <c r="E516" s="16"/>
      <c r="F516" s="16"/>
      <c r="G516" s="1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75" t="s">
        <v>494</v>
      </c>
      <c r="B517" s="84" t="s">
        <v>23</v>
      </c>
      <c r="C517" s="92"/>
      <c r="D517" s="29">
        <v>575.0</v>
      </c>
      <c r="E517" s="16"/>
      <c r="F517" s="16"/>
      <c r="G517" s="1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75" t="s">
        <v>1069</v>
      </c>
      <c r="B518" s="84" t="s">
        <v>1206</v>
      </c>
      <c r="C518" s="92" t="s">
        <v>1202</v>
      </c>
      <c r="D518" s="29">
        <v>5800.0</v>
      </c>
      <c r="E518" s="16"/>
      <c r="F518" s="16"/>
      <c r="G518" s="1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75" t="s">
        <v>1170</v>
      </c>
      <c r="B519" s="84" t="s">
        <v>1205</v>
      </c>
      <c r="C519" s="92" t="s">
        <v>1202</v>
      </c>
      <c r="D519" s="29">
        <v>3850.0</v>
      </c>
      <c r="E519" s="16"/>
      <c r="F519" s="16"/>
      <c r="G519" s="1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75" t="s">
        <v>366</v>
      </c>
      <c r="B520" s="84" t="s">
        <v>1210</v>
      </c>
      <c r="C520" s="92" t="s">
        <v>1202</v>
      </c>
      <c r="D520" s="29">
        <v>460.0</v>
      </c>
      <c r="E520" s="105"/>
      <c r="F520" s="108" t="s">
        <v>1279</v>
      </c>
      <c r="G520" s="10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75" t="s">
        <v>369</v>
      </c>
      <c r="B521" s="84" t="s">
        <v>1210</v>
      </c>
      <c r="C521" s="92" t="s">
        <v>1202</v>
      </c>
      <c r="D521" s="29">
        <v>1600.0</v>
      </c>
      <c r="E521" s="10">
        <v>1200.0</v>
      </c>
      <c r="F521" s="28"/>
      <c r="G521" s="2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75" t="s">
        <v>77</v>
      </c>
      <c r="B522" s="84" t="s">
        <v>23</v>
      </c>
      <c r="C522" s="92" t="s">
        <v>1202</v>
      </c>
      <c r="D522" s="29">
        <v>1800.0</v>
      </c>
      <c r="E522" s="16">
        <v>1500.0</v>
      </c>
      <c r="F522" s="16"/>
      <c r="G522" s="1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75" t="s">
        <v>378</v>
      </c>
      <c r="B523" s="84" t="s">
        <v>17</v>
      </c>
      <c r="C523" s="92" t="s">
        <v>1202</v>
      </c>
      <c r="D523" s="29">
        <v>600.0</v>
      </c>
      <c r="E523" s="16">
        <v>500.0</v>
      </c>
      <c r="F523" s="16"/>
      <c r="G523" s="1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75" t="s">
        <v>78</v>
      </c>
      <c r="B524" s="84" t="s">
        <v>1221</v>
      </c>
      <c r="C524" s="103" t="s">
        <v>1202</v>
      </c>
      <c r="D524" s="22">
        <v>180000.0</v>
      </c>
      <c r="E524" s="16"/>
      <c r="F524" s="16"/>
      <c r="G524" s="1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75" t="s">
        <v>382</v>
      </c>
      <c r="B525" s="84" t="s">
        <v>17</v>
      </c>
      <c r="C525" s="92" t="s">
        <v>1202</v>
      </c>
      <c r="D525" s="22">
        <v>580.0</v>
      </c>
      <c r="E525" s="10">
        <v>450.0</v>
      </c>
      <c r="F525" s="28"/>
      <c r="G525" s="2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75" t="s">
        <v>385</v>
      </c>
      <c r="B526" s="84" t="s">
        <v>17</v>
      </c>
      <c r="C526" s="92" t="s">
        <v>1202</v>
      </c>
      <c r="D526" s="29">
        <v>250.0</v>
      </c>
      <c r="E526" s="105"/>
      <c r="F526" s="106"/>
      <c r="G526" s="10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75" t="s">
        <v>80</v>
      </c>
      <c r="B527" s="84" t="s">
        <v>1210</v>
      </c>
      <c r="C527" s="92" t="s">
        <v>1202</v>
      </c>
      <c r="D527" s="29">
        <v>2750.0</v>
      </c>
      <c r="E527" s="10">
        <v>2000.0</v>
      </c>
      <c r="F527" s="28"/>
      <c r="G527" s="2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75" t="s">
        <v>80</v>
      </c>
      <c r="B528" s="84" t="s">
        <v>23</v>
      </c>
      <c r="C528" s="92" t="s">
        <v>1202</v>
      </c>
      <c r="D528" s="29">
        <v>4000.0</v>
      </c>
      <c r="E528" s="10">
        <v>3500.0</v>
      </c>
      <c r="F528" s="28"/>
      <c r="G528" s="2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75" t="s">
        <v>80</v>
      </c>
      <c r="B529" s="84" t="s">
        <v>1280</v>
      </c>
      <c r="C529" s="92" t="s">
        <v>1281</v>
      </c>
      <c r="D529" s="29">
        <v>12000.0</v>
      </c>
      <c r="E529" s="10">
        <v>10000.0</v>
      </c>
      <c r="F529" s="16"/>
      <c r="G529" s="1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75" t="s">
        <v>390</v>
      </c>
      <c r="B530" s="84" t="s">
        <v>17</v>
      </c>
      <c r="C530" s="92" t="s">
        <v>1202</v>
      </c>
      <c r="D530" s="29">
        <v>360.0</v>
      </c>
      <c r="E530" s="16"/>
      <c r="F530" s="16"/>
      <c r="G530" s="1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75" t="s">
        <v>1118</v>
      </c>
      <c r="B531" s="84" t="s">
        <v>17</v>
      </c>
      <c r="C531" s="92"/>
      <c r="D531" s="29" t="s">
        <v>1229</v>
      </c>
      <c r="E531" s="16"/>
      <c r="F531" s="16"/>
      <c r="G531" s="1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75" t="s">
        <v>496</v>
      </c>
      <c r="B532" s="84" t="s">
        <v>1208</v>
      </c>
      <c r="C532" s="92"/>
      <c r="D532" s="29">
        <v>345.0</v>
      </c>
      <c r="E532" s="16"/>
      <c r="F532" s="16"/>
      <c r="G532" s="1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75" t="s">
        <v>1071</v>
      </c>
      <c r="B533" s="84" t="s">
        <v>1282</v>
      </c>
      <c r="C533" s="92" t="s">
        <v>1202</v>
      </c>
      <c r="D533" s="29">
        <v>22000.0</v>
      </c>
      <c r="E533" s="16"/>
      <c r="F533" s="16"/>
      <c r="G533" s="1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110" t="s">
        <v>1071</v>
      </c>
      <c r="B534" s="84" t="s">
        <v>1228</v>
      </c>
      <c r="C534" s="92" t="s">
        <v>1202</v>
      </c>
      <c r="D534" s="29">
        <v>3300.0</v>
      </c>
      <c r="E534" s="16"/>
      <c r="F534" s="16"/>
      <c r="G534" s="1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75" t="s">
        <v>1074</v>
      </c>
      <c r="B535" s="84" t="s">
        <v>1205</v>
      </c>
      <c r="C535" s="92" t="s">
        <v>1202</v>
      </c>
      <c r="D535" s="29">
        <v>3850.0</v>
      </c>
      <c r="E535" s="16"/>
      <c r="F535" s="16"/>
      <c r="G535" s="1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75" t="s">
        <v>1120</v>
      </c>
      <c r="B536" s="84" t="s">
        <v>17</v>
      </c>
      <c r="C536" s="92"/>
      <c r="D536" s="29" t="s">
        <v>1229</v>
      </c>
      <c r="E536" s="16"/>
      <c r="F536" s="16"/>
      <c r="G536" s="1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75" t="s">
        <v>1076</v>
      </c>
      <c r="B537" s="84" t="s">
        <v>17</v>
      </c>
      <c r="C537" s="92" t="s">
        <v>1202</v>
      </c>
      <c r="D537" s="29">
        <v>5500.0</v>
      </c>
      <c r="E537" s="16"/>
      <c r="F537" s="16"/>
      <c r="G537" s="1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75" t="s">
        <v>585</v>
      </c>
      <c r="B538" s="84" t="s">
        <v>23</v>
      </c>
      <c r="C538" s="92" t="s">
        <v>1202</v>
      </c>
      <c r="D538" s="29">
        <v>2815.0</v>
      </c>
      <c r="E538" s="16"/>
      <c r="F538" s="16"/>
      <c r="G538" s="1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75" t="s">
        <v>655</v>
      </c>
      <c r="B539" s="84" t="s">
        <v>1208</v>
      </c>
      <c r="C539" s="92" t="s">
        <v>1202</v>
      </c>
      <c r="D539" s="29">
        <v>1240.0</v>
      </c>
      <c r="E539" s="16"/>
      <c r="F539" s="16"/>
      <c r="G539" s="1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75" t="s">
        <v>1078</v>
      </c>
      <c r="B540" s="84" t="s">
        <v>1214</v>
      </c>
      <c r="C540" s="92" t="s">
        <v>1233</v>
      </c>
      <c r="D540" s="29">
        <v>1540.0</v>
      </c>
      <c r="E540" s="16"/>
      <c r="F540" s="16"/>
      <c r="G540" s="1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75" t="s">
        <v>392</v>
      </c>
      <c r="B541" s="84" t="s">
        <v>17</v>
      </c>
      <c r="C541" s="92" t="s">
        <v>1202</v>
      </c>
      <c r="D541" s="29">
        <v>460.0</v>
      </c>
      <c r="E541" s="105"/>
      <c r="F541" s="106"/>
      <c r="G541" s="10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75" t="s">
        <v>754</v>
      </c>
      <c r="B542" s="84" t="s">
        <v>1283</v>
      </c>
      <c r="C542" s="92" t="s">
        <v>1202</v>
      </c>
      <c r="D542" s="29">
        <v>56250.0</v>
      </c>
      <c r="E542" s="16"/>
      <c r="F542" s="16"/>
      <c r="G542" s="1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75" t="s">
        <v>1080</v>
      </c>
      <c r="B543" s="84" t="s">
        <v>17</v>
      </c>
      <c r="C543" s="92" t="s">
        <v>1202</v>
      </c>
      <c r="D543" s="29">
        <v>38500.0</v>
      </c>
      <c r="E543" s="16"/>
      <c r="F543" s="16"/>
      <c r="G543" s="1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75" t="s">
        <v>1122</v>
      </c>
      <c r="B544" s="84" t="s">
        <v>17</v>
      </c>
      <c r="C544" s="92"/>
      <c r="D544" s="29" t="s">
        <v>1229</v>
      </c>
      <c r="E544" s="16"/>
      <c r="F544" s="16"/>
      <c r="G544" s="1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75" t="s">
        <v>783</v>
      </c>
      <c r="B545" s="84" t="s">
        <v>1205</v>
      </c>
      <c r="C545" s="92" t="s">
        <v>1202</v>
      </c>
      <c r="D545" s="29">
        <v>2750.0</v>
      </c>
      <c r="E545" s="16"/>
      <c r="F545" s="16"/>
      <c r="G545" s="1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75" t="s">
        <v>394</v>
      </c>
      <c r="B546" s="84" t="s">
        <v>17</v>
      </c>
      <c r="C546" s="92" t="s">
        <v>1202</v>
      </c>
      <c r="D546" s="29">
        <v>290.0</v>
      </c>
      <c r="E546" s="10">
        <v>250.0</v>
      </c>
      <c r="F546" s="28"/>
      <c r="G546" s="2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75" t="s">
        <v>825</v>
      </c>
      <c r="B547" s="84" t="s">
        <v>23</v>
      </c>
      <c r="C547" s="92" t="s">
        <v>1202</v>
      </c>
      <c r="D547" s="29">
        <v>1650.0</v>
      </c>
      <c r="E547" s="16"/>
      <c r="F547" s="16"/>
      <c r="G547" s="1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75" t="s">
        <v>657</v>
      </c>
      <c r="B548" s="84" t="s">
        <v>1208</v>
      </c>
      <c r="C548" s="92" t="s">
        <v>1202</v>
      </c>
      <c r="D548" s="29">
        <v>960.0</v>
      </c>
      <c r="E548" s="16"/>
      <c r="F548" s="16"/>
      <c r="G548" s="1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75" t="s">
        <v>827</v>
      </c>
      <c r="B549" s="84" t="s">
        <v>17</v>
      </c>
      <c r="C549" s="92" t="s">
        <v>1202</v>
      </c>
      <c r="D549" s="29">
        <v>2900.0</v>
      </c>
      <c r="E549" s="16">
        <v>2500.0</v>
      </c>
      <c r="F549" s="16"/>
      <c r="G549" s="1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75" t="s">
        <v>827</v>
      </c>
      <c r="B550" s="84" t="s">
        <v>1205</v>
      </c>
      <c r="C550" s="92" t="s">
        <v>1202</v>
      </c>
      <c r="D550" s="29">
        <v>7640.0</v>
      </c>
      <c r="E550" s="16">
        <v>6500.0</v>
      </c>
      <c r="F550" s="16"/>
      <c r="G550" s="1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75" t="s">
        <v>827</v>
      </c>
      <c r="B551" s="84" t="s">
        <v>1263</v>
      </c>
      <c r="C551" s="92" t="s">
        <v>1202</v>
      </c>
      <c r="D551" s="29">
        <v>9560.0</v>
      </c>
      <c r="E551" s="16"/>
      <c r="F551" s="16"/>
      <c r="G551" s="1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75" t="s">
        <v>498</v>
      </c>
      <c r="B552" s="84" t="s">
        <v>23</v>
      </c>
      <c r="C552" s="92"/>
      <c r="D552" s="29">
        <v>1380.0</v>
      </c>
      <c r="E552" s="16"/>
      <c r="F552" s="16"/>
      <c r="G552" s="1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75" t="s">
        <v>396</v>
      </c>
      <c r="B553" s="84" t="s">
        <v>17</v>
      </c>
      <c r="C553" s="92" t="s">
        <v>1202</v>
      </c>
      <c r="D553" s="29">
        <v>700.0</v>
      </c>
      <c r="E553" s="10">
        <v>600.0</v>
      </c>
      <c r="F553" s="28"/>
      <c r="G553" s="2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75" t="s">
        <v>396</v>
      </c>
      <c r="B554" s="84" t="s">
        <v>1206</v>
      </c>
      <c r="C554" s="92" t="s">
        <v>1202</v>
      </c>
      <c r="D554" s="29">
        <v>1725.0</v>
      </c>
      <c r="E554" s="105"/>
      <c r="F554" s="16"/>
      <c r="G554" s="1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75" t="s">
        <v>500</v>
      </c>
      <c r="B555" s="84" t="s">
        <v>1208</v>
      </c>
      <c r="C555" s="92"/>
      <c r="D555" s="29">
        <v>345.0</v>
      </c>
      <c r="E555" s="16"/>
      <c r="F555" s="16"/>
      <c r="G555" s="1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75" t="s">
        <v>502</v>
      </c>
      <c r="B556" s="84" t="s">
        <v>1208</v>
      </c>
      <c r="C556" s="92"/>
      <c r="D556" s="29">
        <v>805.0</v>
      </c>
      <c r="E556" s="16"/>
      <c r="F556" s="16"/>
      <c r="G556" s="1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75" t="s">
        <v>504</v>
      </c>
      <c r="B557" s="84" t="s">
        <v>1208</v>
      </c>
      <c r="C557" s="92"/>
      <c r="D557" s="29">
        <v>575.0</v>
      </c>
      <c r="E557" s="16"/>
      <c r="F557" s="16"/>
      <c r="G557" s="1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75" t="s">
        <v>506</v>
      </c>
      <c r="B558" s="84" t="s">
        <v>1208</v>
      </c>
      <c r="C558" s="92"/>
      <c r="D558" s="29">
        <v>750.0</v>
      </c>
      <c r="E558" s="16"/>
      <c r="F558" s="16"/>
      <c r="G558" s="1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75" t="s">
        <v>659</v>
      </c>
      <c r="B559" s="84" t="s">
        <v>1208</v>
      </c>
      <c r="C559" s="92" t="s">
        <v>1202</v>
      </c>
      <c r="D559" s="29">
        <v>960.0</v>
      </c>
      <c r="E559" s="16"/>
      <c r="F559" s="16"/>
      <c r="G559" s="1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75" t="s">
        <v>661</v>
      </c>
      <c r="B560" s="84" t="s">
        <v>1208</v>
      </c>
      <c r="C560" s="92" t="s">
        <v>1202</v>
      </c>
      <c r="D560" s="29">
        <v>960.0</v>
      </c>
      <c r="E560" s="16"/>
      <c r="F560" s="16"/>
      <c r="G560" s="1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75" t="s">
        <v>663</v>
      </c>
      <c r="B561" s="84" t="s">
        <v>1208</v>
      </c>
      <c r="C561" s="92" t="s">
        <v>1202</v>
      </c>
      <c r="D561" s="29">
        <v>960.0</v>
      </c>
      <c r="E561" s="16"/>
      <c r="F561" s="16"/>
      <c r="G561" s="1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75" t="s">
        <v>1124</v>
      </c>
      <c r="B562" s="84" t="s">
        <v>17</v>
      </c>
      <c r="C562" s="92"/>
      <c r="D562" s="29" t="s">
        <v>1229</v>
      </c>
      <c r="E562" s="16"/>
      <c r="F562" s="16"/>
      <c r="G562" s="1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75" t="s">
        <v>1126</v>
      </c>
      <c r="B563" s="84" t="s">
        <v>17</v>
      </c>
      <c r="C563" s="92"/>
      <c r="D563" s="29" t="s">
        <v>1229</v>
      </c>
      <c r="E563" s="16"/>
      <c r="F563" s="16"/>
      <c r="G563" s="1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75" t="s">
        <v>1128</v>
      </c>
      <c r="B564" s="84" t="s">
        <v>1205</v>
      </c>
      <c r="C564" s="92" t="s">
        <v>1202</v>
      </c>
      <c r="D564" s="29">
        <v>7875.0</v>
      </c>
      <c r="E564" s="16"/>
      <c r="F564" s="16"/>
      <c r="G564" s="1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75" t="s">
        <v>1130</v>
      </c>
      <c r="B565" s="84" t="s">
        <v>17</v>
      </c>
      <c r="C565" s="92"/>
      <c r="D565" s="29" t="s">
        <v>1229</v>
      </c>
      <c r="E565" s="16"/>
      <c r="F565" s="16"/>
      <c r="G565" s="1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75" t="s">
        <v>1132</v>
      </c>
      <c r="B566" s="84" t="s">
        <v>17</v>
      </c>
      <c r="C566" s="92" t="s">
        <v>1207</v>
      </c>
      <c r="D566" s="29">
        <v>10690.0</v>
      </c>
      <c r="E566" s="16"/>
      <c r="F566" s="16"/>
      <c r="G566" s="1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75" t="s">
        <v>1134</v>
      </c>
      <c r="B567" s="84" t="s">
        <v>17</v>
      </c>
      <c r="C567" s="92"/>
      <c r="D567" s="29" t="s">
        <v>1229</v>
      </c>
      <c r="E567" s="16"/>
      <c r="F567" s="16"/>
      <c r="G567" s="1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75" t="s">
        <v>1136</v>
      </c>
      <c r="B568" s="84" t="s">
        <v>17</v>
      </c>
      <c r="C568" s="92" t="s">
        <v>1207</v>
      </c>
      <c r="D568" s="29">
        <v>10690.0</v>
      </c>
      <c r="E568" s="16"/>
      <c r="F568" s="16"/>
      <c r="G568" s="1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75" t="s">
        <v>1138</v>
      </c>
      <c r="B569" s="84" t="s">
        <v>17</v>
      </c>
      <c r="C569" s="92"/>
      <c r="D569" s="29" t="s">
        <v>1229</v>
      </c>
      <c r="E569" s="16"/>
      <c r="F569" s="16"/>
      <c r="G569" s="1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75" t="s">
        <v>1140</v>
      </c>
      <c r="B570" s="84" t="s">
        <v>17</v>
      </c>
      <c r="C570" s="92"/>
      <c r="D570" s="29" t="s">
        <v>1229</v>
      </c>
      <c r="E570" s="16"/>
      <c r="F570" s="16"/>
      <c r="G570" s="1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75" t="s">
        <v>1142</v>
      </c>
      <c r="B571" s="84" t="s">
        <v>17</v>
      </c>
      <c r="C571" s="92"/>
      <c r="D571" s="29" t="s">
        <v>1229</v>
      </c>
      <c r="E571" s="16"/>
      <c r="F571" s="16"/>
      <c r="G571" s="1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75" t="s">
        <v>1144</v>
      </c>
      <c r="B572" s="84" t="s">
        <v>17</v>
      </c>
      <c r="C572" s="92"/>
      <c r="D572" s="29" t="s">
        <v>1229</v>
      </c>
      <c r="E572" s="16"/>
      <c r="F572" s="16"/>
      <c r="G572" s="1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75" t="s">
        <v>1146</v>
      </c>
      <c r="B573" s="84" t="s">
        <v>17</v>
      </c>
      <c r="C573" s="92" t="s">
        <v>1207</v>
      </c>
      <c r="D573" s="29">
        <v>10690.0</v>
      </c>
      <c r="E573" s="16"/>
      <c r="F573" s="16"/>
      <c r="G573" s="1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75" t="s">
        <v>1146</v>
      </c>
      <c r="B574" s="84" t="s">
        <v>17</v>
      </c>
      <c r="C574" s="92"/>
      <c r="D574" s="29" t="s">
        <v>1229</v>
      </c>
      <c r="E574" s="16"/>
      <c r="F574" s="16"/>
      <c r="G574" s="1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75" t="s">
        <v>1149</v>
      </c>
      <c r="B575" s="84" t="s">
        <v>17</v>
      </c>
      <c r="C575" s="92"/>
      <c r="D575" s="29" t="s">
        <v>1229</v>
      </c>
      <c r="E575" s="16"/>
      <c r="F575" s="16"/>
      <c r="G575" s="1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75" t="s">
        <v>1151</v>
      </c>
      <c r="B576" s="84" t="s">
        <v>17</v>
      </c>
      <c r="C576" s="92"/>
      <c r="D576" s="29" t="s">
        <v>1229</v>
      </c>
      <c r="E576" s="16"/>
      <c r="F576" s="16"/>
      <c r="G576" s="1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97"/>
      <c r="C577" s="97"/>
      <c r="D577" s="98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97"/>
      <c r="C578" s="97"/>
      <c r="D578" s="98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97"/>
      <c r="C579" s="97"/>
      <c r="D579" s="98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97"/>
      <c r="C580" s="97"/>
      <c r="D580" s="98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97"/>
      <c r="C581" s="97"/>
      <c r="D581" s="98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97"/>
      <c r="C582" s="97"/>
      <c r="D582" s="98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97"/>
      <c r="C583" s="97"/>
      <c r="D583" s="98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97"/>
      <c r="C584" s="97"/>
      <c r="D584" s="98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97"/>
      <c r="C585" s="97"/>
      <c r="D585" s="98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97"/>
      <c r="C586" s="97"/>
      <c r="D586" s="98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97"/>
      <c r="C587" s="97"/>
      <c r="D587" s="98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97"/>
      <c r="C588" s="97"/>
      <c r="D588" s="98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97"/>
      <c r="C589" s="97"/>
      <c r="D589" s="98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97"/>
      <c r="C590" s="97"/>
      <c r="D590" s="98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97"/>
      <c r="C591" s="97"/>
      <c r="D591" s="98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97"/>
      <c r="C592" s="97"/>
      <c r="D592" s="98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97"/>
      <c r="C593" s="97"/>
      <c r="D593" s="98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97"/>
      <c r="C594" s="97"/>
      <c r="D594" s="98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97"/>
      <c r="C595" s="97"/>
      <c r="D595" s="98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97"/>
      <c r="C596" s="97"/>
      <c r="D596" s="98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97"/>
      <c r="C597" s="97"/>
      <c r="D597" s="98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97"/>
      <c r="C598" s="97"/>
      <c r="D598" s="98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97"/>
      <c r="C599" s="97"/>
      <c r="D599" s="98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97"/>
      <c r="C600" s="97"/>
      <c r="D600" s="98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97"/>
      <c r="C601" s="97"/>
      <c r="D601" s="98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97"/>
      <c r="C602" s="97"/>
      <c r="D602" s="98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97"/>
      <c r="C603" s="97"/>
      <c r="D603" s="98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97"/>
      <c r="C604" s="97"/>
      <c r="D604" s="98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97"/>
      <c r="C605" s="97"/>
      <c r="D605" s="98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97"/>
      <c r="C606" s="97"/>
      <c r="D606" s="98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97"/>
      <c r="C607" s="97"/>
      <c r="D607" s="98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97"/>
      <c r="C608" s="97"/>
      <c r="D608" s="98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97"/>
      <c r="C609" s="97"/>
      <c r="D609" s="98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97"/>
      <c r="C610" s="97"/>
      <c r="D610" s="98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97"/>
      <c r="C611" s="97"/>
      <c r="D611" s="98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97"/>
      <c r="C612" s="97"/>
      <c r="D612" s="98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97"/>
      <c r="C613" s="97"/>
      <c r="D613" s="98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97"/>
      <c r="C614" s="97"/>
      <c r="D614" s="98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97"/>
      <c r="C615" s="97"/>
      <c r="D615" s="98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97"/>
      <c r="C616" s="97"/>
      <c r="D616" s="98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97"/>
      <c r="C617" s="97"/>
      <c r="D617" s="98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97"/>
      <c r="C618" s="97"/>
      <c r="D618" s="98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97"/>
      <c r="C619" s="97"/>
      <c r="D619" s="98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97"/>
      <c r="C620" s="97"/>
      <c r="D620" s="98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97"/>
      <c r="C621" s="97"/>
      <c r="D621" s="98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97"/>
      <c r="C622" s="97"/>
      <c r="D622" s="98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97"/>
      <c r="C623" s="97"/>
      <c r="D623" s="98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97"/>
      <c r="C624" s="97"/>
      <c r="D624" s="98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97"/>
      <c r="C625" s="97"/>
      <c r="D625" s="98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97"/>
      <c r="C626" s="97"/>
      <c r="D626" s="98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97"/>
      <c r="C627" s="97"/>
      <c r="D627" s="98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97"/>
      <c r="C628" s="97"/>
      <c r="D628" s="98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97"/>
      <c r="C629" s="97"/>
      <c r="D629" s="98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97"/>
      <c r="C630" s="97"/>
      <c r="D630" s="98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97"/>
      <c r="C631" s="97"/>
      <c r="D631" s="98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97"/>
      <c r="C632" s="97"/>
      <c r="D632" s="98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97"/>
      <c r="C633" s="97"/>
      <c r="D633" s="98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97"/>
      <c r="C634" s="97"/>
      <c r="D634" s="98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97"/>
      <c r="C635" s="97"/>
      <c r="D635" s="98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97"/>
      <c r="C636" s="97"/>
      <c r="D636" s="98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97"/>
      <c r="C637" s="97"/>
      <c r="D637" s="98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97"/>
      <c r="C638" s="97"/>
      <c r="D638" s="98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97"/>
      <c r="C639" s="97"/>
      <c r="D639" s="98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97"/>
      <c r="C640" s="97"/>
      <c r="D640" s="98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97"/>
      <c r="C641" s="97"/>
      <c r="D641" s="98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97"/>
      <c r="C642" s="97"/>
      <c r="D642" s="98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97"/>
      <c r="C643" s="97"/>
      <c r="D643" s="98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97"/>
      <c r="C644" s="97"/>
      <c r="D644" s="98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97"/>
      <c r="C645" s="97"/>
      <c r="D645" s="98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97"/>
      <c r="C646" s="97"/>
      <c r="D646" s="98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97"/>
      <c r="C647" s="97"/>
      <c r="D647" s="98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97"/>
      <c r="C648" s="97"/>
      <c r="D648" s="98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97"/>
      <c r="C649" s="97"/>
      <c r="D649" s="98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97"/>
      <c r="C650" s="97"/>
      <c r="D650" s="98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97"/>
      <c r="C651" s="97"/>
      <c r="D651" s="98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97"/>
      <c r="C652" s="97"/>
      <c r="D652" s="98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97"/>
      <c r="C653" s="97"/>
      <c r="D653" s="98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97"/>
      <c r="C654" s="97"/>
      <c r="D654" s="98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97"/>
      <c r="C655" s="97"/>
      <c r="D655" s="98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97"/>
      <c r="C656" s="97"/>
      <c r="D656" s="98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97"/>
      <c r="C657" s="97"/>
      <c r="D657" s="98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97"/>
      <c r="C658" s="97"/>
      <c r="D658" s="98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97"/>
      <c r="C659" s="97"/>
      <c r="D659" s="98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97"/>
      <c r="C660" s="97"/>
      <c r="D660" s="98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97"/>
      <c r="C661" s="97"/>
      <c r="D661" s="98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97"/>
      <c r="C662" s="97"/>
      <c r="D662" s="98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97"/>
      <c r="C663" s="97"/>
      <c r="D663" s="98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97"/>
      <c r="C664" s="97"/>
      <c r="D664" s="98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97"/>
      <c r="C665" s="97"/>
      <c r="D665" s="98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97"/>
      <c r="C666" s="97"/>
      <c r="D666" s="98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97"/>
      <c r="C667" s="97"/>
      <c r="D667" s="98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97"/>
      <c r="C668" s="97"/>
      <c r="D668" s="98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97"/>
      <c r="C669" s="97"/>
      <c r="D669" s="98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97"/>
      <c r="C670" s="97"/>
      <c r="D670" s="98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97"/>
      <c r="C671" s="97"/>
      <c r="D671" s="98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97"/>
      <c r="C672" s="97"/>
      <c r="D672" s="98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97"/>
      <c r="C673" s="97"/>
      <c r="D673" s="98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97"/>
      <c r="C674" s="97"/>
      <c r="D674" s="98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97"/>
      <c r="C675" s="97"/>
      <c r="D675" s="98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97"/>
      <c r="C676" s="97"/>
      <c r="D676" s="98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97"/>
      <c r="C677" s="97"/>
      <c r="D677" s="98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97"/>
      <c r="C678" s="97"/>
      <c r="D678" s="98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97"/>
      <c r="C679" s="97"/>
      <c r="D679" s="98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97"/>
      <c r="C680" s="97"/>
      <c r="D680" s="98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97"/>
      <c r="C681" s="97"/>
      <c r="D681" s="98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97"/>
      <c r="C682" s="97"/>
      <c r="D682" s="98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97"/>
      <c r="C683" s="97"/>
      <c r="D683" s="98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97"/>
      <c r="C684" s="97"/>
      <c r="D684" s="98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97"/>
      <c r="C685" s="97"/>
      <c r="D685" s="98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97"/>
      <c r="C686" s="97"/>
      <c r="D686" s="98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97"/>
      <c r="C687" s="97"/>
      <c r="D687" s="98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97"/>
      <c r="C688" s="97"/>
      <c r="D688" s="98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97"/>
      <c r="C689" s="97"/>
      <c r="D689" s="98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97"/>
      <c r="C690" s="97"/>
      <c r="D690" s="98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97"/>
      <c r="C691" s="97"/>
      <c r="D691" s="98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97"/>
      <c r="C692" s="97"/>
      <c r="D692" s="98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97"/>
      <c r="C693" s="97"/>
      <c r="D693" s="98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97"/>
      <c r="C694" s="97"/>
      <c r="D694" s="98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97"/>
      <c r="C695" s="97"/>
      <c r="D695" s="98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97"/>
      <c r="C696" s="97"/>
      <c r="D696" s="98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97"/>
      <c r="C697" s="97"/>
      <c r="D697" s="98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97"/>
      <c r="C698" s="97"/>
      <c r="D698" s="98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97"/>
      <c r="C699" s="97"/>
      <c r="D699" s="98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97"/>
      <c r="C700" s="97"/>
      <c r="D700" s="98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97"/>
      <c r="C701" s="97"/>
      <c r="D701" s="98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97"/>
      <c r="C702" s="97"/>
      <c r="D702" s="98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97"/>
      <c r="C703" s="97"/>
      <c r="D703" s="98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97"/>
      <c r="C704" s="97"/>
      <c r="D704" s="98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97"/>
      <c r="C705" s="97"/>
      <c r="D705" s="98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97"/>
      <c r="C706" s="97"/>
      <c r="D706" s="98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97"/>
      <c r="C707" s="97"/>
      <c r="D707" s="98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97"/>
      <c r="C708" s="97"/>
      <c r="D708" s="98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97"/>
      <c r="C709" s="97"/>
      <c r="D709" s="98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97"/>
      <c r="C710" s="97"/>
      <c r="D710" s="98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97"/>
      <c r="C711" s="97"/>
      <c r="D711" s="98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97"/>
      <c r="C712" s="97"/>
      <c r="D712" s="98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97"/>
      <c r="C713" s="97"/>
      <c r="D713" s="98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97"/>
      <c r="C714" s="97"/>
      <c r="D714" s="98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97"/>
      <c r="C715" s="97"/>
      <c r="D715" s="98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97"/>
      <c r="C716" s="97"/>
      <c r="D716" s="98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97"/>
      <c r="C717" s="97"/>
      <c r="D717" s="98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97"/>
      <c r="C718" s="97"/>
      <c r="D718" s="98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97"/>
      <c r="C719" s="97"/>
      <c r="D719" s="98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97"/>
      <c r="C720" s="97"/>
      <c r="D720" s="98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97"/>
      <c r="C721" s="97"/>
      <c r="D721" s="98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97"/>
      <c r="C722" s="97"/>
      <c r="D722" s="98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97"/>
      <c r="C723" s="97"/>
      <c r="D723" s="98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97"/>
      <c r="C724" s="97"/>
      <c r="D724" s="98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97"/>
      <c r="C725" s="97"/>
      <c r="D725" s="98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97"/>
      <c r="C726" s="97"/>
      <c r="D726" s="98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97"/>
      <c r="C727" s="97"/>
      <c r="D727" s="98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97"/>
      <c r="C728" s="97"/>
      <c r="D728" s="98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97"/>
      <c r="C729" s="97"/>
      <c r="D729" s="98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97"/>
      <c r="C730" s="97"/>
      <c r="D730" s="98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97"/>
      <c r="C731" s="97"/>
      <c r="D731" s="98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97"/>
      <c r="C732" s="97"/>
      <c r="D732" s="98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97"/>
      <c r="C733" s="97"/>
      <c r="D733" s="98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97"/>
      <c r="C734" s="97"/>
      <c r="D734" s="98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97"/>
      <c r="C735" s="97"/>
      <c r="D735" s="98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97"/>
      <c r="C736" s="97"/>
      <c r="D736" s="98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97"/>
      <c r="C737" s="97"/>
      <c r="D737" s="98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97"/>
      <c r="C738" s="97"/>
      <c r="D738" s="98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97"/>
      <c r="C739" s="97"/>
      <c r="D739" s="98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97"/>
      <c r="C740" s="97"/>
      <c r="D740" s="98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97"/>
      <c r="C741" s="97"/>
      <c r="D741" s="98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97"/>
      <c r="C742" s="97"/>
      <c r="D742" s="98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97"/>
      <c r="C743" s="97"/>
      <c r="D743" s="98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97"/>
      <c r="C744" s="97"/>
      <c r="D744" s="98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97"/>
      <c r="C745" s="97"/>
      <c r="D745" s="98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97"/>
      <c r="C746" s="97"/>
      <c r="D746" s="98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97"/>
      <c r="C747" s="97"/>
      <c r="D747" s="98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97"/>
      <c r="C748" s="97"/>
      <c r="D748" s="98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97"/>
      <c r="C749" s="97"/>
      <c r="D749" s="98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97"/>
      <c r="C750" s="97"/>
      <c r="D750" s="98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97"/>
      <c r="C751" s="97"/>
      <c r="D751" s="98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97"/>
      <c r="C752" s="97"/>
      <c r="D752" s="98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97"/>
      <c r="C753" s="97"/>
      <c r="D753" s="98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97"/>
      <c r="C754" s="97"/>
      <c r="D754" s="98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97"/>
      <c r="C755" s="97"/>
      <c r="D755" s="98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97"/>
      <c r="C756" s="97"/>
      <c r="D756" s="98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97"/>
      <c r="C757" s="97"/>
      <c r="D757" s="98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97"/>
      <c r="C758" s="97"/>
      <c r="D758" s="98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97"/>
      <c r="C759" s="97"/>
      <c r="D759" s="98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97"/>
      <c r="C760" s="97"/>
      <c r="D760" s="98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97"/>
      <c r="C761" s="97"/>
      <c r="D761" s="98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97"/>
      <c r="C762" s="97"/>
      <c r="D762" s="98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97"/>
      <c r="C763" s="97"/>
      <c r="D763" s="98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97"/>
      <c r="C764" s="97"/>
      <c r="D764" s="98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97"/>
      <c r="C765" s="97"/>
      <c r="D765" s="98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97"/>
      <c r="C766" s="97"/>
      <c r="D766" s="98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97"/>
      <c r="C767" s="97"/>
      <c r="D767" s="98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97"/>
      <c r="C768" s="97"/>
      <c r="D768" s="98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97"/>
      <c r="C769" s="97"/>
      <c r="D769" s="98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97"/>
      <c r="C770" s="97"/>
      <c r="D770" s="98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97"/>
      <c r="C771" s="97"/>
      <c r="D771" s="98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97"/>
      <c r="C772" s="97"/>
      <c r="D772" s="98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97"/>
      <c r="C773" s="97"/>
      <c r="D773" s="98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97"/>
      <c r="C774" s="97"/>
      <c r="D774" s="98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97"/>
      <c r="C775" s="97"/>
      <c r="D775" s="98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97"/>
      <c r="C776" s="97"/>
      <c r="D776" s="98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97"/>
      <c r="C777" s="97"/>
      <c r="D777" s="98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97"/>
      <c r="C778" s="97"/>
      <c r="D778" s="98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97"/>
      <c r="C779" s="97"/>
      <c r="D779" s="98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97"/>
      <c r="C780" s="97"/>
      <c r="D780" s="98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97"/>
      <c r="C781" s="97"/>
      <c r="D781" s="98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97"/>
      <c r="C782" s="97"/>
      <c r="D782" s="98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97"/>
      <c r="C783" s="97"/>
      <c r="D783" s="98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97"/>
      <c r="C784" s="97"/>
      <c r="D784" s="98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97"/>
      <c r="C785" s="97"/>
      <c r="D785" s="98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97"/>
      <c r="C786" s="97"/>
      <c r="D786" s="98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97"/>
      <c r="C787" s="97"/>
      <c r="D787" s="98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97"/>
      <c r="C788" s="97"/>
      <c r="D788" s="98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97"/>
      <c r="C789" s="97"/>
      <c r="D789" s="98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97"/>
      <c r="C790" s="97"/>
      <c r="D790" s="98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97"/>
      <c r="C791" s="97"/>
      <c r="D791" s="98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97"/>
      <c r="C792" s="97"/>
      <c r="D792" s="98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97"/>
      <c r="C793" s="97"/>
      <c r="D793" s="98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97"/>
      <c r="C794" s="97"/>
      <c r="D794" s="98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97"/>
      <c r="C795" s="97"/>
      <c r="D795" s="98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97"/>
      <c r="C796" s="97"/>
      <c r="D796" s="98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97"/>
      <c r="C797" s="97"/>
      <c r="D797" s="98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97"/>
      <c r="C798" s="97"/>
      <c r="D798" s="98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97"/>
      <c r="C799" s="97"/>
      <c r="D799" s="98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97"/>
      <c r="C800" s="97"/>
      <c r="D800" s="98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97"/>
      <c r="C801" s="97"/>
      <c r="D801" s="98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97"/>
      <c r="C802" s="97"/>
      <c r="D802" s="98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97"/>
      <c r="C803" s="97"/>
      <c r="D803" s="98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97"/>
      <c r="C804" s="97"/>
      <c r="D804" s="98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97"/>
      <c r="C805" s="97"/>
      <c r="D805" s="98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97"/>
      <c r="C806" s="97"/>
      <c r="D806" s="98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97"/>
      <c r="C807" s="97"/>
      <c r="D807" s="98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97"/>
      <c r="C808" s="97"/>
      <c r="D808" s="98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97"/>
      <c r="C809" s="97"/>
      <c r="D809" s="98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97"/>
      <c r="C810" s="97"/>
      <c r="D810" s="98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97"/>
      <c r="C811" s="97"/>
      <c r="D811" s="98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97"/>
      <c r="C812" s="97"/>
      <c r="D812" s="98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97"/>
      <c r="C813" s="97"/>
      <c r="D813" s="98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97"/>
      <c r="C814" s="97"/>
      <c r="D814" s="98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97"/>
      <c r="C815" s="97"/>
      <c r="D815" s="98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97"/>
      <c r="C816" s="97"/>
      <c r="D816" s="98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97"/>
      <c r="C817" s="97"/>
      <c r="D817" s="98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97"/>
      <c r="C818" s="97"/>
      <c r="D818" s="98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97"/>
      <c r="C819" s="97"/>
      <c r="D819" s="98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97"/>
      <c r="C820" s="97"/>
      <c r="D820" s="98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97"/>
      <c r="C821" s="97"/>
      <c r="D821" s="98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97"/>
      <c r="C822" s="97"/>
      <c r="D822" s="98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97"/>
      <c r="C823" s="97"/>
      <c r="D823" s="98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97"/>
      <c r="C824" s="97"/>
      <c r="D824" s="98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97"/>
      <c r="C825" s="97"/>
      <c r="D825" s="98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97"/>
      <c r="C826" s="97"/>
      <c r="D826" s="98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97"/>
      <c r="C827" s="97"/>
      <c r="D827" s="98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97"/>
      <c r="C828" s="97"/>
      <c r="D828" s="98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97"/>
      <c r="C829" s="97"/>
      <c r="D829" s="98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97"/>
      <c r="C830" s="97"/>
      <c r="D830" s="98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97"/>
      <c r="C831" s="97"/>
      <c r="D831" s="98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97"/>
      <c r="C832" s="97"/>
      <c r="D832" s="98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97"/>
      <c r="C833" s="97"/>
      <c r="D833" s="98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97"/>
      <c r="C834" s="97"/>
      <c r="D834" s="98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97"/>
      <c r="C835" s="97"/>
      <c r="D835" s="98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97"/>
      <c r="C836" s="97"/>
      <c r="D836" s="98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97"/>
      <c r="C837" s="97"/>
      <c r="D837" s="98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97"/>
      <c r="C838" s="97"/>
      <c r="D838" s="98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97"/>
      <c r="C839" s="97"/>
      <c r="D839" s="98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97"/>
      <c r="C840" s="97"/>
      <c r="D840" s="98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97"/>
      <c r="C841" s="97"/>
      <c r="D841" s="98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97"/>
      <c r="C842" s="97"/>
      <c r="D842" s="98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97"/>
      <c r="C843" s="97"/>
      <c r="D843" s="98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97"/>
      <c r="C844" s="97"/>
      <c r="D844" s="98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97"/>
      <c r="C845" s="97"/>
      <c r="D845" s="98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97"/>
      <c r="C846" s="97"/>
      <c r="D846" s="98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97"/>
      <c r="C847" s="97"/>
      <c r="D847" s="98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97"/>
      <c r="C848" s="97"/>
      <c r="D848" s="98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97"/>
      <c r="C849" s="97"/>
      <c r="D849" s="98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97"/>
      <c r="C850" s="97"/>
      <c r="D850" s="98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97"/>
      <c r="C851" s="97"/>
      <c r="D851" s="98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97"/>
      <c r="C852" s="97"/>
      <c r="D852" s="98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97"/>
      <c r="C853" s="97"/>
      <c r="D853" s="98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97"/>
      <c r="C854" s="97"/>
      <c r="D854" s="98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97"/>
      <c r="C855" s="97"/>
      <c r="D855" s="98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97"/>
      <c r="C856" s="97"/>
      <c r="D856" s="98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97"/>
      <c r="C857" s="97"/>
      <c r="D857" s="98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97"/>
      <c r="C858" s="97"/>
      <c r="D858" s="98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97"/>
      <c r="C859" s="97"/>
      <c r="D859" s="98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97"/>
      <c r="C860" s="97"/>
      <c r="D860" s="98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97"/>
      <c r="C861" s="97"/>
      <c r="D861" s="98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97"/>
      <c r="C862" s="97"/>
      <c r="D862" s="98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97"/>
      <c r="C863" s="97"/>
      <c r="D863" s="98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97"/>
      <c r="C864" s="97"/>
      <c r="D864" s="98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97"/>
      <c r="C865" s="97"/>
      <c r="D865" s="98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97"/>
      <c r="C866" s="97"/>
      <c r="D866" s="98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97"/>
      <c r="C867" s="97"/>
      <c r="D867" s="98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97"/>
      <c r="C868" s="97"/>
      <c r="D868" s="98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97"/>
      <c r="C869" s="97"/>
      <c r="D869" s="98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97"/>
      <c r="C870" s="97"/>
      <c r="D870" s="98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97"/>
      <c r="C871" s="97"/>
      <c r="D871" s="98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97"/>
      <c r="C872" s="97"/>
      <c r="D872" s="98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97"/>
      <c r="C873" s="97"/>
      <c r="D873" s="98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97"/>
      <c r="C874" s="97"/>
      <c r="D874" s="98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97"/>
      <c r="C875" s="97"/>
      <c r="D875" s="98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97"/>
      <c r="C876" s="97"/>
      <c r="D876" s="98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97"/>
      <c r="C877" s="97"/>
      <c r="D877" s="98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97"/>
      <c r="C878" s="97"/>
      <c r="D878" s="98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97"/>
      <c r="C879" s="97"/>
      <c r="D879" s="98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97"/>
      <c r="C880" s="97"/>
      <c r="D880" s="98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97"/>
      <c r="C881" s="97"/>
      <c r="D881" s="98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97"/>
      <c r="C882" s="97"/>
      <c r="D882" s="98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97"/>
      <c r="C883" s="97"/>
      <c r="D883" s="98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97"/>
      <c r="C884" s="97"/>
      <c r="D884" s="98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97"/>
      <c r="C885" s="97"/>
      <c r="D885" s="98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97"/>
      <c r="C886" s="97"/>
      <c r="D886" s="98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97"/>
      <c r="C887" s="97"/>
      <c r="D887" s="98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97"/>
      <c r="C888" s="97"/>
      <c r="D888" s="98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97"/>
      <c r="C889" s="97"/>
      <c r="D889" s="98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97"/>
      <c r="C890" s="97"/>
      <c r="D890" s="98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97"/>
      <c r="C891" s="97"/>
      <c r="D891" s="98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97"/>
      <c r="C892" s="97"/>
      <c r="D892" s="98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97"/>
      <c r="C893" s="97"/>
      <c r="D893" s="98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97"/>
      <c r="C894" s="97"/>
      <c r="D894" s="98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97"/>
      <c r="C895" s="97"/>
      <c r="D895" s="98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97"/>
      <c r="C896" s="97"/>
      <c r="D896" s="98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97"/>
      <c r="C897" s="97"/>
      <c r="D897" s="98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97"/>
      <c r="C898" s="97"/>
      <c r="D898" s="98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97"/>
      <c r="C899" s="97"/>
      <c r="D899" s="98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97"/>
      <c r="C900" s="97"/>
      <c r="D900" s="98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97"/>
      <c r="C901" s="97"/>
      <c r="D901" s="98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97"/>
      <c r="C902" s="97"/>
      <c r="D902" s="98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97"/>
      <c r="C903" s="97"/>
      <c r="D903" s="98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97"/>
      <c r="C904" s="97"/>
      <c r="D904" s="98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97"/>
      <c r="C905" s="97"/>
      <c r="D905" s="98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97"/>
      <c r="C906" s="97"/>
      <c r="D906" s="98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97"/>
      <c r="C907" s="97"/>
      <c r="D907" s="98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97"/>
      <c r="C908" s="97"/>
      <c r="D908" s="98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97"/>
      <c r="C909" s="97"/>
      <c r="D909" s="98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97"/>
      <c r="C910" s="97"/>
      <c r="D910" s="98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97"/>
      <c r="C911" s="97"/>
      <c r="D911" s="98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97"/>
      <c r="C912" s="97"/>
      <c r="D912" s="98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97"/>
      <c r="C913" s="97"/>
      <c r="D913" s="98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97"/>
      <c r="C914" s="97"/>
      <c r="D914" s="98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97"/>
      <c r="C915" s="97"/>
      <c r="D915" s="98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97"/>
      <c r="C916" s="97"/>
      <c r="D916" s="98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97"/>
      <c r="C917" s="97"/>
      <c r="D917" s="98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97"/>
      <c r="C918" s="97"/>
      <c r="D918" s="98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97"/>
      <c r="C919" s="97"/>
      <c r="D919" s="98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97"/>
      <c r="C920" s="97"/>
      <c r="D920" s="98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97"/>
      <c r="C921" s="97"/>
      <c r="D921" s="98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97"/>
      <c r="C922" s="97"/>
      <c r="D922" s="98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97"/>
      <c r="C923" s="97"/>
      <c r="D923" s="98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97"/>
      <c r="C924" s="97"/>
      <c r="D924" s="98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97"/>
      <c r="C925" s="97"/>
      <c r="D925" s="98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97"/>
      <c r="C926" s="97"/>
      <c r="D926" s="98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97"/>
      <c r="C927" s="97"/>
      <c r="D927" s="98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97"/>
      <c r="C928" s="97"/>
      <c r="D928" s="98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97"/>
      <c r="C929" s="97"/>
      <c r="D929" s="98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97"/>
      <c r="C930" s="97"/>
      <c r="D930" s="98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97"/>
      <c r="C931" s="97"/>
      <c r="D931" s="98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97"/>
      <c r="C932" s="97"/>
      <c r="D932" s="98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97"/>
      <c r="C933" s="97"/>
      <c r="D933" s="98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97"/>
      <c r="C934" s="97"/>
      <c r="D934" s="98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97"/>
      <c r="C935" s="97"/>
      <c r="D935" s="98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97"/>
      <c r="C936" s="97"/>
      <c r="D936" s="98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97"/>
      <c r="C937" s="97"/>
      <c r="D937" s="98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97"/>
      <c r="C938" s="97"/>
      <c r="D938" s="98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97"/>
      <c r="C939" s="97"/>
      <c r="D939" s="98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97"/>
      <c r="C940" s="97"/>
      <c r="D940" s="98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97"/>
      <c r="C941" s="97"/>
      <c r="D941" s="98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97"/>
      <c r="C942" s="97"/>
      <c r="D942" s="98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97"/>
      <c r="C943" s="97"/>
      <c r="D943" s="98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97"/>
      <c r="C944" s="97"/>
      <c r="D944" s="98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97"/>
      <c r="C945" s="97"/>
      <c r="D945" s="98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97"/>
      <c r="C946" s="97"/>
      <c r="D946" s="98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97"/>
      <c r="C947" s="97"/>
      <c r="D947" s="98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97"/>
      <c r="C948" s="97"/>
      <c r="D948" s="98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97"/>
      <c r="C949" s="97"/>
      <c r="D949" s="98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97"/>
      <c r="C950" s="97"/>
      <c r="D950" s="98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97"/>
      <c r="C951" s="97"/>
      <c r="D951" s="98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97"/>
      <c r="C952" s="97"/>
      <c r="D952" s="98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97"/>
      <c r="C953" s="97"/>
      <c r="D953" s="98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97"/>
      <c r="C954" s="97"/>
      <c r="D954" s="98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97"/>
      <c r="C955" s="97"/>
      <c r="D955" s="98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97"/>
      <c r="C956" s="97"/>
      <c r="D956" s="98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97"/>
      <c r="C957" s="97"/>
      <c r="D957" s="98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97"/>
      <c r="C958" s="97"/>
      <c r="D958" s="98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97"/>
      <c r="C959" s="97"/>
      <c r="D959" s="98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97"/>
      <c r="C960" s="97"/>
      <c r="D960" s="98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97"/>
      <c r="C961" s="97"/>
      <c r="D961" s="98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97"/>
      <c r="C962" s="97"/>
      <c r="D962" s="98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97"/>
      <c r="C963" s="97"/>
      <c r="D963" s="98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97"/>
      <c r="C964" s="97"/>
      <c r="D964" s="98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97"/>
      <c r="C965" s="97"/>
      <c r="D965" s="98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97"/>
      <c r="C966" s="97"/>
      <c r="D966" s="98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97"/>
      <c r="C967" s="97"/>
      <c r="D967" s="98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97"/>
      <c r="C968" s="97"/>
      <c r="D968" s="98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97"/>
      <c r="C969" s="97"/>
      <c r="D969" s="98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97"/>
      <c r="C970" s="97"/>
      <c r="D970" s="98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97"/>
      <c r="C971" s="97"/>
      <c r="D971" s="98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97"/>
      <c r="C972" s="97"/>
      <c r="D972" s="98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97"/>
      <c r="C973" s="97"/>
      <c r="D973" s="98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97"/>
      <c r="C974" s="97"/>
      <c r="D974" s="98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97"/>
      <c r="C975" s="97"/>
      <c r="D975" s="98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97"/>
      <c r="C976" s="97"/>
      <c r="D976" s="98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97"/>
      <c r="C977" s="97"/>
      <c r="D977" s="98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97"/>
      <c r="C978" s="97"/>
      <c r="D978" s="98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97"/>
      <c r="C979" s="97"/>
      <c r="D979" s="98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97"/>
      <c r="C980" s="97"/>
      <c r="D980" s="98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97"/>
      <c r="C981" s="97"/>
      <c r="D981" s="98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97"/>
      <c r="C982" s="97"/>
      <c r="D982" s="98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97"/>
      <c r="C983" s="97"/>
      <c r="D983" s="98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97"/>
      <c r="C984" s="97"/>
      <c r="D984" s="98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97"/>
      <c r="C985" s="97"/>
      <c r="D985" s="98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97"/>
      <c r="C986" s="97"/>
      <c r="D986" s="98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97"/>
      <c r="C987" s="97"/>
      <c r="D987" s="98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97"/>
      <c r="C988" s="97"/>
      <c r="D988" s="98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97"/>
      <c r="C989" s="97"/>
      <c r="D989" s="98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97"/>
      <c r="C990" s="97"/>
      <c r="D990" s="98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97"/>
      <c r="C991" s="97"/>
      <c r="D991" s="98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97"/>
      <c r="C992" s="97"/>
      <c r="D992" s="98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97"/>
      <c r="C993" s="97"/>
      <c r="D993" s="98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97"/>
      <c r="C994" s="97"/>
      <c r="D994" s="98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97"/>
      <c r="C995" s="97"/>
      <c r="D995" s="98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97"/>
      <c r="C996" s="97"/>
      <c r="D996" s="98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97"/>
      <c r="C997" s="97"/>
      <c r="D997" s="98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97"/>
      <c r="C998" s="97"/>
      <c r="D998" s="98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97"/>
      <c r="C999" s="97"/>
      <c r="D999" s="98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97"/>
      <c r="C1000" s="97"/>
      <c r="D1000" s="98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97"/>
      <c r="C1001" s="97"/>
      <c r="D1001" s="98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97"/>
      <c r="C1002" s="97"/>
      <c r="D1002" s="98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97"/>
      <c r="C1003" s="97"/>
      <c r="D1003" s="98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97"/>
      <c r="C1004" s="97"/>
      <c r="D1004" s="98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97"/>
      <c r="C1005" s="97"/>
      <c r="D1005" s="98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97"/>
      <c r="C1006" s="97"/>
      <c r="D1006" s="98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97"/>
      <c r="C1007" s="97"/>
      <c r="D1007" s="98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97"/>
      <c r="C1008" s="97"/>
      <c r="D1008" s="98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97"/>
      <c r="C1009" s="97"/>
      <c r="D1009" s="98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97"/>
      <c r="C1010" s="97"/>
      <c r="D1010" s="98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97"/>
      <c r="C1011" s="97"/>
      <c r="D1011" s="98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97"/>
      <c r="C1012" s="97"/>
      <c r="D1012" s="98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97"/>
      <c r="C1013" s="97"/>
      <c r="D1013" s="98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97"/>
      <c r="C1014" s="97"/>
      <c r="D1014" s="98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97"/>
      <c r="C1015" s="97"/>
      <c r="D1015" s="98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97"/>
      <c r="C1016" s="97"/>
      <c r="D1016" s="98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97"/>
      <c r="C1017" s="97"/>
      <c r="D1017" s="98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97"/>
      <c r="C1018" s="97"/>
      <c r="D1018" s="98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97"/>
      <c r="C1019" s="97"/>
      <c r="D1019" s="98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97"/>
      <c r="C1020" s="97"/>
      <c r="D1020" s="98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97"/>
      <c r="C1021" s="97"/>
      <c r="D1021" s="98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97"/>
      <c r="C1022" s="97"/>
      <c r="D1022" s="98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97"/>
      <c r="C1023" s="97"/>
      <c r="D1023" s="98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97"/>
      <c r="C1024" s="97"/>
      <c r="D1024" s="98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97"/>
      <c r="C1025" s="97"/>
      <c r="D1025" s="98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97"/>
      <c r="C1026" s="97"/>
      <c r="D1026" s="98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97"/>
      <c r="C1027" s="97"/>
      <c r="D1027" s="98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97"/>
      <c r="C1028" s="97"/>
      <c r="D1028" s="98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97"/>
      <c r="C1029" s="97"/>
      <c r="D1029" s="98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97"/>
      <c r="C1030" s="97"/>
      <c r="D1030" s="98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97"/>
      <c r="C1031" s="97"/>
      <c r="D1031" s="98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97"/>
      <c r="C1032" s="97"/>
      <c r="D1032" s="98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97"/>
      <c r="C1033" s="97"/>
      <c r="D1033" s="98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97"/>
      <c r="C1034" s="97"/>
      <c r="D1034" s="98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97"/>
      <c r="C1035" s="97"/>
      <c r="D1035" s="98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97"/>
      <c r="C1036" s="97"/>
      <c r="D1036" s="98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97"/>
      <c r="C1037" s="97"/>
      <c r="D1037" s="98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97"/>
      <c r="C1038" s="97"/>
      <c r="D1038" s="98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97"/>
      <c r="C1039" s="97"/>
      <c r="D1039" s="98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97"/>
      <c r="C1040" s="97"/>
      <c r="D1040" s="98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97"/>
      <c r="C1041" s="97"/>
      <c r="D1041" s="98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97"/>
      <c r="C1042" s="97"/>
      <c r="D1042" s="98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97"/>
      <c r="C1043" s="97"/>
      <c r="D1043" s="98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97"/>
      <c r="C1044" s="97"/>
      <c r="D1044" s="98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97"/>
      <c r="C1045" s="97"/>
      <c r="D1045" s="98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97"/>
      <c r="C1046" s="97"/>
      <c r="D1046" s="98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97"/>
      <c r="C1047" s="97"/>
      <c r="D1047" s="98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97"/>
      <c r="C1048" s="97"/>
      <c r="D1048" s="98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97"/>
      <c r="C1049" s="97"/>
      <c r="D1049" s="98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</sheetData>
  <dataValidations>
    <dataValidation type="list" allowBlank="1" sqref="B3:B576">
      <formula1>#REF!</formula1>
    </dataValidation>
    <dataValidation type="list" allowBlank="1" sqref="A3:A576">
      <formula1>#REF!</formula1>
    </dataValidation>
  </dataValidations>
  <hyperlinks>
    <hyperlink r:id="rId1" ref="A318"/>
    <hyperlink r:id="rId2" ref="A321"/>
    <hyperlink r:id="rId3" ref="A322"/>
  </hyperlinks>
  <drawing r:id="rId4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5.56"/>
    <col customWidth="1" min="2" max="2" width="28.11"/>
    <col customWidth="1" min="3" max="3" width="70.44"/>
  </cols>
  <sheetData>
    <row r="1">
      <c r="A1" s="113" t="s">
        <v>1284</v>
      </c>
      <c r="B1" s="113" t="s">
        <v>1285</v>
      </c>
      <c r="C1" s="113" t="s">
        <v>1286</v>
      </c>
    </row>
    <row r="2">
      <c r="A2" s="114" t="s">
        <v>1287</v>
      </c>
      <c r="B2" s="114" t="s">
        <v>1288</v>
      </c>
      <c r="C2" s="114" t="s">
        <v>1289</v>
      </c>
    </row>
    <row r="3">
      <c r="A3" s="114" t="s">
        <v>1290</v>
      </c>
      <c r="B3" s="114" t="s">
        <v>1291</v>
      </c>
      <c r="C3" s="114" t="s">
        <v>1292</v>
      </c>
    </row>
    <row r="4">
      <c r="A4" s="114" t="s">
        <v>1293</v>
      </c>
      <c r="B4" s="114" t="s">
        <v>1294</v>
      </c>
      <c r="C4" s="114" t="s">
        <v>1292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sheetData>
    <row r="1" ht="22.5" customHeight="1">
      <c r="A1" s="80" t="s">
        <v>1295</v>
      </c>
    </row>
    <row r="2" ht="22.5" customHeight="1">
      <c r="A2" s="10" t="s">
        <v>98</v>
      </c>
    </row>
    <row r="3" ht="22.5" customHeight="1">
      <c r="A3" s="16" t="s">
        <v>194</v>
      </c>
    </row>
    <row r="4" ht="22.5" customHeight="1">
      <c r="A4" s="16" t="s">
        <v>832</v>
      </c>
    </row>
    <row r="5" ht="22.5" customHeight="1">
      <c r="A5" s="16" t="s">
        <v>114</v>
      </c>
    </row>
    <row r="6" ht="22.5" customHeight="1">
      <c r="A6" s="10" t="s">
        <v>405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6.67"/>
    <col customWidth="1" min="2" max="2" width="22.56"/>
  </cols>
  <sheetData>
    <row r="1">
      <c r="A1" s="113" t="s">
        <v>1284</v>
      </c>
      <c r="B1" s="113" t="s">
        <v>1285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0" max="10" width="20.67"/>
    <col customWidth="1" min="11" max="11" width="8.22"/>
    <col customWidth="1" min="12" max="12" width="13.22"/>
    <col customWidth="1" min="13" max="13" width="10.22"/>
  </cols>
  <sheetData>
    <row r="1" ht="22.5" customHeight="1">
      <c r="A1" s="80" t="s">
        <v>89</v>
      </c>
      <c r="B1" s="80" t="s">
        <v>4</v>
      </c>
      <c r="C1" s="80" t="s">
        <v>90</v>
      </c>
      <c r="D1" s="80" t="s">
        <v>91</v>
      </c>
      <c r="E1" s="80" t="s">
        <v>92</v>
      </c>
      <c r="F1" s="80" t="s">
        <v>2</v>
      </c>
      <c r="G1" s="81" t="s">
        <v>93</v>
      </c>
      <c r="H1" s="80" t="s">
        <v>94</v>
      </c>
      <c r="I1" s="9" t="s">
        <v>1197</v>
      </c>
      <c r="J1" s="99" t="s">
        <v>1198</v>
      </c>
      <c r="K1" s="100" t="s">
        <v>1199</v>
      </c>
      <c r="L1" s="80" t="s">
        <v>1200</v>
      </c>
      <c r="M1" s="101" t="s">
        <v>1201</v>
      </c>
      <c r="N1" s="101" t="s">
        <v>94</v>
      </c>
    </row>
    <row r="2" ht="22.5" customHeight="1">
      <c r="A2" s="16" t="s">
        <v>96</v>
      </c>
      <c r="B2" s="16" t="str">
        <f>ARRAYFORMULA(
  IF(
    ISBLANK(A2:A), 
    "", 
    IFERROR(
      VLOOKUP(
        A2:A, 
        'KOLs Prices'!A:E,  // Eşleştirme yapılacak tam aralık.
        2,                  // Çekmek istediğimiz sütun numarası(A=1, B=2, C=3...)
        FALSE
      )
    ,"")
  )
)</f>
        <v>#ERROR!</v>
      </c>
      <c r="C2" s="16"/>
      <c r="D2" s="16"/>
      <c r="E2" s="84"/>
      <c r="F2" s="75"/>
      <c r="G2" s="75"/>
      <c r="H2" s="16"/>
      <c r="I2" s="84"/>
      <c r="J2" s="16"/>
      <c r="K2" s="16"/>
      <c r="L2" s="16"/>
      <c r="M2" s="16"/>
      <c r="N2" s="16"/>
    </row>
  </sheetData>
  <dataValidations>
    <dataValidation type="list" allowBlank="1" sqref="E2 I2">
      <formula1>#REF!</formula1>
    </dataValidation>
    <dataValidation type="list" allowBlank="1" sqref="F2:G2">
      <formula1>#REF!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8.33"/>
  </cols>
  <sheetData>
    <row r="1">
      <c r="A1" s="113" t="s">
        <v>1296</v>
      </c>
      <c r="B1" s="113" t="s">
        <v>3</v>
      </c>
    </row>
    <row r="2">
      <c r="A2" s="114">
        <v>1.0</v>
      </c>
      <c r="B2" s="115" t="str">
        <f>IFERROR(__xludf.DUMMYFUNCTION("FILTER(
  MainData!A2:A998,
  (MainData!A2:A998 &lt;&gt; """") *
  (
    ISNA(
      MATCH(MainData!A2:A998, 'KOLs Prices'!A:A, 0)
    )
    +
    NOT(
      ISNUMBER(
        IFNA(
          VLOOKUP(MainData!A2:A998, 'KOLs Prices'!A:D, 4, FALSE),
          """&amp;"""
        )
      )
    )
  )
)
"),"Alpha")</f>
        <v>Alpha</v>
      </c>
    </row>
    <row r="3">
      <c r="A3" s="114">
        <v>2.0</v>
      </c>
      <c r="B3" s="115" t="str">
        <f>IFERROR(__xludf.DUMMYFUNCTION("""COMPUTED_VALUE"""),"CryptoLFT")</f>
        <v>CryptoLFT</v>
      </c>
    </row>
    <row r="4">
      <c r="A4" s="114">
        <v>3.0</v>
      </c>
      <c r="B4" s="115" t="str">
        <f>IFERROR(__xludf.DUMMYFUNCTION("""COMPUTED_VALUE"""),"Elif ")</f>
        <v>Elif </v>
      </c>
    </row>
    <row r="5">
      <c r="A5" s="114">
        <v>4.0</v>
      </c>
      <c r="B5" s="115" t="str">
        <f>IFERROR(__xludf.DUMMYFUNCTION("""COMPUTED_VALUE"""),"Fatih ")</f>
        <v>Fatih </v>
      </c>
    </row>
    <row r="6">
      <c r="A6" s="114">
        <v>5.0</v>
      </c>
      <c r="B6" s="115" t="str">
        <f>IFERROR(__xludf.DUMMYFUNCTION("""COMPUTED_VALUE"""),"Hasan")</f>
        <v>Hasan</v>
      </c>
    </row>
    <row r="7">
      <c r="A7" s="114">
        <v>6.0</v>
      </c>
      <c r="B7" s="115" t="str">
        <f>IFERROR(__xludf.DUMMYFUNCTION("""COMPUTED_VALUE"""),"İrfan")</f>
        <v>İrfan</v>
      </c>
    </row>
    <row r="8">
      <c r="A8" s="114">
        <v>7.0</v>
      </c>
      <c r="B8" s="115" t="str">
        <f>IFERROR(__xludf.DUMMYFUNCTION("""COMPUTED_VALUE"""),"Kripto Cem")</f>
        <v>Kripto Cem</v>
      </c>
    </row>
    <row r="9">
      <c r="A9" s="114">
        <v>8.0</v>
      </c>
      <c r="B9" s="116" t="str">
        <f>IFERROR(__xludf.DUMMYFUNCTION("""COMPUTED_VALUE"""),"Kripto Efsanesi")</f>
        <v>Kripto Efsanesi</v>
      </c>
    </row>
    <row r="10">
      <c r="A10" s="114">
        <v>9.0</v>
      </c>
      <c r="B10" s="115" t="str">
        <f>IFERROR(__xludf.DUMMYFUNCTION("""COMPUTED_VALUE"""),"Kripto Holder")</f>
        <v>Kripto Holder</v>
      </c>
    </row>
    <row r="11">
      <c r="A11" s="114">
        <v>10.0</v>
      </c>
      <c r="B11" s="115" t="str">
        <f>IFERROR(__xludf.DUMMYFUNCTION("""COMPUTED_VALUE"""),"Kripto Warrior")</f>
        <v>Kripto Warrior</v>
      </c>
    </row>
    <row r="12">
      <c r="A12" s="114">
        <v>11.0</v>
      </c>
      <c r="B12" s="115" t="str">
        <f>IFERROR(__xludf.DUMMYFUNCTION("""COMPUTED_VALUE"""),"Kriptoloki")</f>
        <v>Kriptoloki</v>
      </c>
    </row>
    <row r="13">
      <c r="A13" s="114">
        <v>12.0</v>
      </c>
      <c r="B13" s="115" t="str">
        <f>IFERROR(__xludf.DUMMYFUNCTION("""COMPUTED_VALUE"""),"Lcasa")</f>
        <v>Lcasa</v>
      </c>
    </row>
    <row r="14">
      <c r="A14" s="114">
        <v>13.0</v>
      </c>
      <c r="B14" s="115" t="str">
        <f>IFERROR(__xludf.DUMMYFUNCTION("""COMPUTED_VALUE"""),"Lord of Crypto")</f>
        <v>Lord of Crypto</v>
      </c>
    </row>
    <row r="15">
      <c r="A15" s="114">
        <v>14.0</v>
      </c>
      <c r="B15" s="115" t="str">
        <f>IFERROR(__xludf.DUMMYFUNCTION("""COMPUTED_VALUE"""),"Melik Berşah")</f>
        <v>Melik Berşah</v>
      </c>
    </row>
    <row r="16">
      <c r="A16" s="114">
        <v>15.0</v>
      </c>
      <c r="B16" s="115" t="str">
        <f>IFERROR(__xludf.DUMMYFUNCTION("""COMPUTED_VALUE"""),"Meric")</f>
        <v>Meric</v>
      </c>
    </row>
    <row r="17">
      <c r="A17" s="114">
        <v>16.0</v>
      </c>
      <c r="B17" s="115" t="str">
        <f>IFERROR(__xludf.DUMMYFUNCTION("""COMPUTED_VALUE"""),"Mete")</f>
        <v>Mete</v>
      </c>
    </row>
    <row r="18">
      <c r="A18" s="114">
        <v>17.0</v>
      </c>
      <c r="B18" s="115" t="str">
        <f>IFERROR(__xludf.DUMMYFUNCTION("""COMPUTED_VALUE"""),"MMTÜRK(ALAYLI)")</f>
        <v>MMTÜRK(ALAYLI)</v>
      </c>
    </row>
    <row r="19">
      <c r="A19" s="114">
        <v>18.0</v>
      </c>
      <c r="B19" s="115" t="str">
        <f>IFERROR(__xludf.DUMMYFUNCTION("""COMPUTED_VALUE"""),"Nftmüfettisi")</f>
        <v>Nftmüfettisi</v>
      </c>
    </row>
    <row r="20">
      <c r="A20" s="114">
        <v>19.0</v>
      </c>
      <c r="B20" s="115" t="str">
        <f>IFERROR(__xludf.DUMMYFUNCTION("""COMPUTED_VALUE"""),"NikkiSixx7")</f>
        <v>NikkiSixx7</v>
      </c>
    </row>
    <row r="21">
      <c r="A21" s="114">
        <v>20.0</v>
      </c>
      <c r="B21" s="115" t="str">
        <f>IFERROR(__xludf.DUMMYFUNCTION("""COMPUTED_VALUE"""),"Oğuzhan")</f>
        <v>Oğuzhan</v>
      </c>
    </row>
    <row r="22">
      <c r="A22" s="114">
        <v>21.0</v>
      </c>
      <c r="B22" s="116" t="str">
        <f>IFERROR(__xludf.DUMMYFUNCTION("""COMPUTED_VALUE"""),"omer")</f>
        <v>omer</v>
      </c>
    </row>
    <row r="23">
      <c r="A23" s="114">
        <v>22.0</v>
      </c>
      <c r="B23" s="115" t="str">
        <f>IFERROR(__xludf.DUMMYFUNCTION("""COMPUTED_VALUE"""),"Paradotor")</f>
        <v>Paradotor</v>
      </c>
    </row>
    <row r="24">
      <c r="A24" s="114">
        <v>23.0</v>
      </c>
      <c r="B24" s="115" t="str">
        <f>IFERROR(__xludf.DUMMYFUNCTION("""COMPUTED_VALUE"""),"Şener")</f>
        <v>Şener</v>
      </c>
    </row>
    <row r="25">
      <c r="A25" s="114">
        <v>24.0</v>
      </c>
      <c r="B25" s="115" t="str">
        <f>IFERROR(__xludf.DUMMYFUNCTION("""COMPUTED_VALUE"""),"Teknikci Hoca")</f>
        <v>Teknikci Hoca</v>
      </c>
    </row>
    <row r="26">
      <c r="A26" s="114">
        <v>25.0</v>
      </c>
      <c r="B26" s="115" t="str">
        <f>IFERROR(__xludf.DUMMYFUNCTION("""COMPUTED_VALUE"""),"Türkmen")</f>
        <v>Türkmen</v>
      </c>
    </row>
    <row r="27">
      <c r="A27" s="114">
        <v>26.0</v>
      </c>
      <c r="B27" s="115" t="str">
        <f>IFERROR(__xludf.DUMMYFUNCTION("""COMPUTED_VALUE"""),"Umut ninja")</f>
        <v>Umut ninja</v>
      </c>
    </row>
    <row r="28">
      <c r="A28" s="114">
        <v>27.0</v>
      </c>
      <c r="B28" s="117" t="str">
        <f>IFERROR(__xludf.DUMMYFUNCTION("""COMPUTED_VALUE"""),"Koszary Tradingu")</f>
        <v>Koszary Tradingu</v>
      </c>
    </row>
    <row r="29">
      <c r="A29" s="114">
        <v>28.0</v>
      </c>
      <c r="B29" s="117" t="str">
        <f>IFERROR(__xludf.DUMMYFUNCTION("""COMPUTED_VALUE"""),"Kryptoblogger")</f>
        <v>Kryptoblogger</v>
      </c>
    </row>
    <row r="30">
      <c r="A30" s="114">
        <v>29.0</v>
      </c>
      <c r="B30" s="117" t="str">
        <f>IFERROR(__xludf.DUMMYFUNCTION("""COMPUTED_VALUE"""),"Kryptowaluty dla Początkujących")</f>
        <v>Kryptowaluty dla Początkujących</v>
      </c>
    </row>
    <row r="31">
      <c r="A31" s="114">
        <v>30.0</v>
      </c>
      <c r="B31" s="117" t="str">
        <f>IFERROR(__xludf.DUMMYFUNCTION("""COMPUTED_VALUE"""),"kyudo")</f>
        <v>kyudo</v>
      </c>
    </row>
    <row r="32">
      <c r="A32" s="114">
        <v>31.0</v>
      </c>
      <c r="B32" s="117" t="str">
        <f>IFERROR(__xludf.DUMMYFUNCTION("""COMPUTED_VALUE"""),"Łukasz Michałek (Biblia Kryptowalut)")</f>
        <v>Łukasz Michałek (Biblia Kryptowalut)</v>
      </c>
    </row>
    <row r="33">
      <c r="A33" s="114">
        <v>32.0</v>
      </c>
      <c r="B33" s="117" t="str">
        <f>IFERROR(__xludf.DUMMYFUNCTION("""COMPUTED_VALUE"""),"mactom")</f>
        <v>mactom</v>
      </c>
    </row>
    <row r="34">
      <c r="A34" s="114">
        <v>33.0</v>
      </c>
      <c r="B34" s="117" t="str">
        <f>IFERROR(__xludf.DUMMYFUNCTION("""COMPUTED_VALUE"""),"Świat Krypto")</f>
        <v>Świat Krypto</v>
      </c>
    </row>
    <row r="35">
      <c r="A35" s="114">
        <v>34.0</v>
      </c>
      <c r="B35" s="117" t="str">
        <f>IFERROR(__xludf.DUMMYFUNCTION("""COMPUTED_VALUE"""),"Angga Andinata")</f>
        <v>Angga Andinata</v>
      </c>
    </row>
    <row r="36">
      <c r="A36" s="114">
        <v>35.0</v>
      </c>
      <c r="B36" s="117" t="str">
        <f>IFERROR(__xludf.DUMMYFUNCTION("""COMPUTED_VALUE"""),"Francesco Carrino")</f>
        <v>Francesco Carrino</v>
      </c>
    </row>
    <row r="37">
      <c r="A37" s="114">
        <v>36.0</v>
      </c>
      <c r="B37" s="115" t="str">
        <f>IFERROR(__xludf.DUMMYFUNCTION("""COMPUTED_VALUE"""),"Mauro Caimi")</f>
        <v>Mauro Caimi</v>
      </c>
    </row>
    <row r="38">
      <c r="A38" s="114">
        <v>37.0</v>
      </c>
      <c r="B38" s="115" t="str">
        <f>IFERROR(__xludf.DUMMYFUNCTION("""COMPUTED_VALUE"""),"Riccardo Zanetti")</f>
        <v>Riccardo Zanetti</v>
      </c>
    </row>
    <row r="39">
      <c r="A39" s="114">
        <v>38.0</v>
      </c>
      <c r="B39" s="117" t="str">
        <f>IFERROR(__xludf.DUMMYFUNCTION("""COMPUTED_VALUE"""),"AnC")</f>
        <v>AnC</v>
      </c>
    </row>
    <row r="40">
      <c r="A40" s="114">
        <v>39.0</v>
      </c>
      <c r="B40" s="117" t="str">
        <f>IFERROR(__xludf.DUMMYFUNCTION("""COMPUTED_VALUE"""),"Andre Rizky Investasi")</f>
        <v>Andre Rizky Investasi</v>
      </c>
    </row>
    <row r="41">
      <c r="A41" s="114">
        <v>40.0</v>
      </c>
      <c r="B41" s="117" t="str">
        <f>IFERROR(__xludf.DUMMYFUNCTION("""COMPUTED_VALUE"""),"andreasrtobing.hl")</f>
        <v>andreasrtobing.hl</v>
      </c>
    </row>
    <row r="42">
      <c r="A42" s="114">
        <v>41.0</v>
      </c>
      <c r="B42" s="117" t="str">
        <f>IFERROR(__xludf.DUMMYFUNCTION("""COMPUTED_VALUE"""),"Andy Tjoeng")</f>
        <v>Andy Tjoeng</v>
      </c>
    </row>
    <row r="43">
      <c r="A43" s="114">
        <v>42.0</v>
      </c>
      <c r="B43" s="117" t="str">
        <f>IFERROR(__xludf.DUMMYFUNCTION("""COMPUTED_VALUE"""),"belvin tannadi")</f>
        <v>belvin tannadi</v>
      </c>
    </row>
    <row r="44">
      <c r="A44" s="114">
        <v>43.0</v>
      </c>
      <c r="B44" s="117" t="str">
        <f>IFERROR(__xludf.DUMMYFUNCTION("""COMPUTED_VALUE"""),"Choze")</f>
        <v>Choze</v>
      </c>
    </row>
    <row r="45">
      <c r="A45" s="114">
        <v>44.0</v>
      </c>
      <c r="B45" s="117" t="str">
        <f>IFERROR(__xludf.DUMMYFUNCTION("""COMPUTED_VALUE"""),"Crypto Jargon")</f>
        <v>Crypto Jargon</v>
      </c>
    </row>
    <row r="46">
      <c r="A46" s="114">
        <v>45.0</v>
      </c>
      <c r="B46" s="117" t="str">
        <f>IFERROR(__xludf.DUMMYFUNCTION("""COMPUTED_VALUE"""),"Crypto Yug")</f>
        <v>Crypto Yug</v>
      </c>
    </row>
    <row r="47">
      <c r="A47" s="114">
        <v>46.0</v>
      </c>
      <c r="B47" s="117" t="str">
        <f>IFERROR(__xludf.DUMMYFUNCTION("""COMPUTED_VALUE"""),"GE")</f>
        <v>GE</v>
      </c>
    </row>
    <row r="48">
      <c r="A48" s="114">
        <v>47.0</v>
      </c>
      <c r="B48" s="117" t="str">
        <f>IFERROR(__xludf.DUMMYFUNCTION("""COMPUTED_VALUE"""),"IhsanAgaz")</f>
        <v>IhsanAgaz</v>
      </c>
    </row>
    <row r="49">
      <c r="A49" s="114">
        <v>48.0</v>
      </c>
      <c r="B49" s="117" t="str">
        <f>IFERROR(__xludf.DUMMYFUNCTION("""COMPUTED_VALUE"""),"Kenal Kripto")</f>
        <v>Kenal Kripto</v>
      </c>
    </row>
    <row r="50">
      <c r="A50" s="114">
        <v>49.0</v>
      </c>
      <c r="B50" s="117" t="str">
        <f>IFERROR(__xludf.DUMMYFUNCTION("""COMPUTED_VALUE"""),"Tomket Lovers")</f>
        <v>Tomket Lovers</v>
      </c>
    </row>
    <row r="51">
      <c r="A51" s="114">
        <v>50.0</v>
      </c>
      <c r="B51" s="117" t="str">
        <f>IFERROR(__xludf.DUMMYFUNCTION("""COMPUTED_VALUE"""),"Yan")</f>
        <v>Yan</v>
      </c>
    </row>
    <row r="52">
      <c r="A52" s="114">
        <v>51.0</v>
      </c>
      <c r="B52" s="117" t="str">
        <f>IFERROR(__xludf.DUMMYFUNCTION("""COMPUTED_VALUE"""),"Yonathan Dinata")</f>
        <v>Yonathan Dinata</v>
      </c>
    </row>
    <row r="53">
      <c r="A53" s="114">
        <v>52.0</v>
      </c>
      <c r="B53" s="117" t="str">
        <f>IFERROR(__xludf.DUMMYFUNCTION("""COMPUTED_VALUE"""),"Yunepto")</f>
        <v>Yunepto</v>
      </c>
    </row>
    <row r="54">
      <c r="A54" s="114">
        <v>53.0</v>
      </c>
      <c r="B54" s="117" t="str">
        <f>IFERROR(__xludf.DUMMYFUNCTION("""COMPUTED_VALUE"""),"zksrzkshmr")</f>
        <v>zksrzkshmr</v>
      </c>
    </row>
    <row r="55">
      <c r="A55" s="114">
        <v>54.0</v>
      </c>
      <c r="B55" s="115" t="str">
        <f>IFERROR(__xludf.DUMMYFUNCTION("""COMPUTED_VALUE"""),"Hasheur")</f>
        <v>Hasheur</v>
      </c>
    </row>
    <row r="56">
      <c r="A56" s="114">
        <v>55.0</v>
      </c>
      <c r="B56" s="115" t="str">
        <f>IFERROR(__xludf.DUMMYFUNCTION("""COMPUTED_VALUE"""),"0xSweep")</f>
        <v>0xSweep</v>
      </c>
    </row>
    <row r="57">
      <c r="A57" s="114">
        <v>56.0</v>
      </c>
      <c r="B57" s="115" t="str">
        <f>IFERROR(__xludf.DUMMYFUNCTION("""COMPUTED_VALUE"""),"Alex Becker")</f>
        <v>Alex Becker</v>
      </c>
    </row>
    <row r="58">
      <c r="A58" s="114">
        <v>57.0</v>
      </c>
      <c r="B58" s="115" t="str">
        <f>IFERROR(__xludf.DUMMYFUNCTION("""COMPUTED_VALUE"""),"Ansem")</f>
        <v>Ansem</v>
      </c>
    </row>
    <row r="59">
      <c r="A59" s="114">
        <v>58.0</v>
      </c>
      <c r="B59" s="115" t="str">
        <f>IFERROR(__xludf.DUMMYFUNCTION("""COMPUTED_VALUE"""),"Ash Crypto")</f>
        <v>Ash Crypto</v>
      </c>
    </row>
    <row r="60">
      <c r="A60" s="114">
        <v>59.0</v>
      </c>
      <c r="B60" s="115" t="str">
        <f>IFERROR(__xludf.DUMMYFUNCTION("""COMPUTED_VALUE"""),"BagCalls")</f>
        <v>BagCalls</v>
      </c>
    </row>
    <row r="61">
      <c r="A61" s="114">
        <v>60.0</v>
      </c>
      <c r="B61" s="115" t="str">
        <f>IFERROR(__xludf.DUMMYFUNCTION("""COMPUTED_VALUE"""),"BillionAireSon")</f>
        <v>BillionAireSon</v>
      </c>
    </row>
    <row r="62">
      <c r="A62" s="114">
        <v>61.0</v>
      </c>
      <c r="B62" s="115" t="str">
        <f>IFERROR(__xludf.DUMMYFUNCTION("""COMPUTED_VALUE"""),"cevo")</f>
        <v>cevo</v>
      </c>
    </row>
    <row r="63">
      <c r="A63" s="114">
        <v>62.0</v>
      </c>
      <c r="B63" s="115" t="str">
        <f>IFERROR(__xludf.DUMMYFUNCTION("""COMPUTED_VALUE"""),"CryptoCapo_ ")</f>
        <v>CryptoCapo_ </v>
      </c>
    </row>
    <row r="64">
      <c r="A64" s="114">
        <v>63.0</v>
      </c>
      <c r="B64" s="117" t="str">
        <f>IFERROR(__xludf.DUMMYFUNCTION("""COMPUTED_VALUE"""),"cryptocita")</f>
        <v>cryptocita</v>
      </c>
    </row>
    <row r="65">
      <c r="A65" s="114">
        <v>64.0</v>
      </c>
      <c r="B65" s="117" t="str">
        <f>IFERROR(__xludf.DUMMYFUNCTION("""COMPUTED_VALUE"""),"cryptocita")</f>
        <v>cryptocita</v>
      </c>
    </row>
    <row r="66">
      <c r="A66" s="114">
        <v>65.0</v>
      </c>
      <c r="B66" s="115" t="str">
        <f>IFERROR(__xludf.DUMMYFUNCTION("""COMPUTED_VALUE"""),"CryptoGodJohn")</f>
        <v>CryptoGodJohn</v>
      </c>
    </row>
    <row r="67">
      <c r="A67" s="114">
        <v>66.0</v>
      </c>
      <c r="B67" s="115" t="str">
        <f>IFERROR(__xludf.DUMMYFUNCTION("""COMPUTED_VALUE"""),"CryptoMichael")</f>
        <v>CryptoMichael</v>
      </c>
    </row>
    <row r="68">
      <c r="A68" s="114">
        <v>67.0</v>
      </c>
      <c r="B68" s="115" t="str">
        <f>IFERROR(__xludf.DUMMYFUNCTION("""COMPUTED_VALUE"""),"Eric Cryptoman")</f>
        <v>Eric Cryptoman</v>
      </c>
    </row>
    <row r="69">
      <c r="A69" s="114">
        <v>68.0</v>
      </c>
      <c r="B69" s="115" t="str">
        <f>IFERROR(__xludf.DUMMYFUNCTION("""COMPUTED_VALUE"""),"fuel zee bags")</f>
        <v>fuel zee bags</v>
      </c>
    </row>
    <row r="70">
      <c r="A70" s="114">
        <v>69.0</v>
      </c>
      <c r="B70" s="115" t="str">
        <f>IFERROR(__xludf.DUMMYFUNCTION("""COMPUTED_VALUE"""),"Ignas")</f>
        <v>Ignas</v>
      </c>
    </row>
    <row r="71">
      <c r="A71" s="114">
        <v>70.0</v>
      </c>
      <c r="B71" s="117" t="str">
        <f>IFERROR(__xludf.DUMMYFUNCTION("""COMPUTED_VALUE"""),"Joe Parys 11")</f>
        <v>Joe Parys 11</v>
      </c>
    </row>
    <row r="72">
      <c r="A72" s="114">
        <v>71.0</v>
      </c>
      <c r="B72" s="115" t="str">
        <f>IFERROR(__xludf.DUMMYFUNCTION("""COMPUTED_VALUE"""),"King.sol")</f>
        <v>King.sol</v>
      </c>
    </row>
    <row r="73">
      <c r="A73" s="114">
        <v>72.0</v>
      </c>
      <c r="B73" s="115" t="str">
        <f>IFERROR(__xludf.DUMMYFUNCTION("""COMPUTED_VALUE"""),"Lady of Crypto")</f>
        <v>Lady of Crypto</v>
      </c>
    </row>
    <row r="74">
      <c r="A74" s="114">
        <v>73.0</v>
      </c>
      <c r="B74" s="115" t="str">
        <f>IFERROR(__xludf.DUMMYFUNCTION("""COMPUTED_VALUE"""),"Luke Belmar")</f>
        <v>Luke Belmar</v>
      </c>
    </row>
    <row r="75">
      <c r="A75" s="114">
        <v>74.0</v>
      </c>
      <c r="B75" s="115" t="str">
        <f>IFERROR(__xludf.DUMMYFUNCTION("""COMPUTED_VALUE"""),"MadApes Calls")</f>
        <v>MadApes Calls</v>
      </c>
    </row>
    <row r="76">
      <c r="A76" s="114">
        <v>75.0</v>
      </c>
      <c r="B76" s="115" t="str">
        <f>IFERROR(__xludf.DUMMYFUNCTION("""COMPUTED_VALUE"""),"ManLy")</f>
        <v>ManLy</v>
      </c>
    </row>
    <row r="77">
      <c r="A77" s="114">
        <v>75.0</v>
      </c>
      <c r="B77" s="115" t="str">
        <f>IFERROR(__xludf.DUMMYFUNCTION("""COMPUTED_VALUE"""),"Mario Nawfal")</f>
        <v>Mario Nawfal</v>
      </c>
    </row>
    <row r="78">
      <c r="A78" s="114">
        <v>75.0</v>
      </c>
      <c r="B78" s="115" t="str">
        <f>IFERROR(__xludf.DUMMYFUNCTION("""COMPUTED_VALUE"""),"Miles Deutscher")</f>
        <v>Miles Deutscher</v>
      </c>
    </row>
    <row r="79">
      <c r="A79" s="114">
        <v>75.0</v>
      </c>
      <c r="B79" s="115" t="str">
        <f>IFERROR(__xludf.DUMMYFUNCTION("""COMPUTED_VALUE"""),"Okan")</f>
        <v>Okan</v>
      </c>
    </row>
    <row r="80">
      <c r="A80" s="114">
        <v>75.0</v>
      </c>
      <c r="B80" s="115" t="str">
        <f>IFERROR(__xludf.DUMMYFUNCTION("""COMPUTED_VALUE"""),"overdose_ai")</f>
        <v>overdose_ai</v>
      </c>
    </row>
    <row r="81">
      <c r="A81" s="114">
        <v>75.0</v>
      </c>
      <c r="B81" s="115" t="str">
        <f>IFERROR(__xludf.DUMMYFUNCTION("""COMPUTED_VALUE"""),"Pentoshi")</f>
        <v>Pentoshi</v>
      </c>
    </row>
    <row r="82">
      <c r="A82" s="114">
        <v>75.0</v>
      </c>
      <c r="B82" s="115" t="str">
        <f>IFERROR(__xludf.DUMMYFUNCTION("""COMPUTED_VALUE"""),"Tiko")</f>
        <v>Tiko</v>
      </c>
    </row>
    <row r="83">
      <c r="A83" s="114">
        <v>75.0</v>
      </c>
      <c r="B83" s="115" t="str">
        <f>IFERROR(__xludf.DUMMYFUNCTION("""COMPUTED_VALUE"""),"CryptoWilson")</f>
        <v>CryptoWilson</v>
      </c>
    </row>
    <row r="84">
      <c r="A84" s="114">
        <v>75.0</v>
      </c>
      <c r="B84" s="115" t="str">
        <f>IFERROR(__xludf.DUMMYFUNCTION("""COMPUTED_VALUE"""),"FEI | 0xKEY")</f>
        <v>FEI | 0xKEY</v>
      </c>
    </row>
    <row r="85">
      <c r="A85" s="114">
        <v>75.0</v>
      </c>
      <c r="B85" s="115" t="str">
        <f>IFERROR(__xludf.DUMMYFUNCTION("""COMPUTED_VALUE"""),"Fiona")</f>
        <v>Fiona</v>
      </c>
    </row>
    <row r="86">
      <c r="A86" s="114">
        <v>75.0</v>
      </c>
      <c r="B86" s="115" t="str">
        <f>IFERROR(__xludf.DUMMYFUNCTION("""COMPUTED_VALUE"""),"Haotian")</f>
        <v>Haotian</v>
      </c>
    </row>
    <row r="87">
      <c r="A87" s="114">
        <v>75.0</v>
      </c>
      <c r="B87" s="115" t="str">
        <f>IFERROR(__xludf.DUMMYFUNCTION("""COMPUTED_VALUE"""),"K线教主")</f>
        <v>K线教主</v>
      </c>
    </row>
    <row r="88">
      <c r="A88" s="114">
        <v>75.0</v>
      </c>
      <c r="B88" s="115" t="str">
        <f>IFERROR(__xludf.DUMMYFUNCTION("""COMPUTED_VALUE"""),"Nancy")</f>
        <v>Nancy</v>
      </c>
    </row>
    <row r="89">
      <c r="A89" s="114">
        <v>75.0</v>
      </c>
      <c r="B89" s="115" t="str">
        <f>IFERROR(__xludf.DUMMYFUNCTION("""COMPUTED_VALUE"""),"NingNing")</f>
        <v>NingNing</v>
      </c>
    </row>
    <row r="90">
      <c r="A90" s="114">
        <v>75.0</v>
      </c>
      <c r="B90" s="115" t="str">
        <f>IFERROR(__xludf.DUMMYFUNCTION("""COMPUTED_VALUE"""),"Victalk")</f>
        <v>Victalk</v>
      </c>
    </row>
    <row r="91">
      <c r="A91" s="114">
        <v>75.0</v>
      </c>
      <c r="B91" s="115" t="str">
        <f>IFERROR(__xludf.DUMMYFUNCTION("""COMPUTED_VALUE"""),"Vvicky绵绵")</f>
        <v>Vvicky绵绵</v>
      </c>
    </row>
    <row r="92">
      <c r="A92" s="114">
        <v>75.0</v>
      </c>
      <c r="B92" s="115" t="str">
        <f>IFERROR(__xludf.DUMMYFUNCTION("""COMPUTED_VALUE"""),"Wlabs")</f>
        <v>Wlabs</v>
      </c>
    </row>
    <row r="93">
      <c r="A93" s="114">
        <v>75.0</v>
      </c>
      <c r="B93" s="115" t="str">
        <f>IFERROR(__xludf.DUMMYFUNCTION("""COMPUTED_VALUE"""),"不二.eth")</f>
        <v>不二.eth</v>
      </c>
    </row>
    <row r="94">
      <c r="A94" s="114">
        <v>75.0</v>
      </c>
      <c r="B94" s="115" t="str">
        <f>IFERROR(__xludf.DUMMYFUNCTION("""COMPUTED_VALUE"""),"十一地主")</f>
        <v>十一地主</v>
      </c>
    </row>
    <row r="95">
      <c r="A95" s="114">
        <v>75.0</v>
      </c>
      <c r="B95" s="115" t="str">
        <f>IFERROR(__xludf.DUMMYFUNCTION("""COMPUTED_VALUE"""),"妙蛙种子")</f>
        <v>妙蛙种子</v>
      </c>
    </row>
    <row r="96">
      <c r="A96" s="114">
        <v>75.0</v>
      </c>
      <c r="B96" s="115" t="str">
        <f>IFERROR(__xludf.DUMMYFUNCTION("""COMPUTED_VALUE"""),"愉悦")</f>
        <v>愉悦</v>
      </c>
    </row>
    <row r="97">
      <c r="A97" s="114">
        <v>75.0</v>
      </c>
      <c r="B97" s="115" t="str">
        <f>IFERROR(__xludf.DUMMYFUNCTION("""COMPUTED_VALUE"""),"杀破狼")</f>
        <v>杀破狼</v>
      </c>
    </row>
    <row r="98">
      <c r="A98" s="114">
        <v>75.0</v>
      </c>
      <c r="B98" s="115" t="str">
        <f>IFERROR(__xludf.DUMMYFUNCTION("""COMPUTED_VALUE"""),"茶哥")</f>
        <v>茶哥</v>
      </c>
    </row>
    <row r="99">
      <c r="A99" s="114">
        <v>75.0</v>
      </c>
      <c r="B99" s="115" t="str">
        <f>IFERROR(__xludf.DUMMYFUNCTION("""COMPUTED_VALUE"""),"萌小主")</f>
        <v>萌小主</v>
      </c>
    </row>
    <row r="100">
      <c r="A100" s="114">
        <v>75.0</v>
      </c>
      <c r="B100" s="115" t="str">
        <f>IFERROR(__xludf.DUMMYFUNCTION("""COMPUTED_VALUE"""),"蜡币小鑫")</f>
        <v>蜡币小鑫</v>
      </c>
    </row>
    <row r="101">
      <c r="A101" s="114">
        <v>75.0</v>
      </c>
      <c r="B101" s="115" t="str">
        <f>IFERROR(__xludf.DUMMYFUNCTION("""COMPUTED_VALUE"""),"雨中狂睡")</f>
        <v>雨中狂睡</v>
      </c>
    </row>
    <row r="102">
      <c r="A102" s="114">
        <v>75.0</v>
      </c>
      <c r="B102" s="115" t="str">
        <f>IFERROR(__xludf.DUMMYFUNCTION("""COMPUTED_VALUE"""),"雪球")</f>
        <v>雪球</v>
      </c>
    </row>
    <row r="103">
      <c r="A103" s="114">
        <v>75.0</v>
      </c>
      <c r="B103" s="115" t="str">
        <f>IFERROR(__xludf.DUMMYFUNCTION("""COMPUTED_VALUE"""),"Investidor 4.2")</f>
        <v>Investidor 4.2</v>
      </c>
    </row>
    <row r="104">
      <c r="A104" s="114">
        <v>75.0</v>
      </c>
      <c r="B104" s="115" t="str">
        <f>IFERROR(__xludf.DUMMYFUNCTION("""COMPUTED_VALUE"""),"Alex Krüger")</f>
        <v>Alex Krüger</v>
      </c>
    </row>
    <row r="105">
      <c r="A105" s="114">
        <v>75.0</v>
      </c>
      <c r="B105" s="115" t="str">
        <f>IFERROR(__xludf.DUMMYFUNCTION("""COMPUTED_VALUE"""),"Altcoin Gordon")</f>
        <v>Altcoin Gordon</v>
      </c>
    </row>
    <row r="106">
      <c r="A106" s="114">
        <v>75.0</v>
      </c>
      <c r="B106" s="115" t="str">
        <f>IFERROR(__xludf.DUMMYFUNCTION("""COMPUTED_VALUE"""),"ANBESSA")</f>
        <v>ANBESSA</v>
      </c>
    </row>
    <row r="107">
      <c r="A107" s="114">
        <v>75.0</v>
      </c>
      <c r="B107" s="115" t="str">
        <f>IFERROR(__xludf.DUMMYFUNCTION("""COMPUTED_VALUE"""),"Devchart")</f>
        <v>Devchart</v>
      </c>
    </row>
    <row r="108">
      <c r="A108" s="114">
        <v>75.0</v>
      </c>
      <c r="B108" s="115" t="str">
        <f>IFERROR(__xludf.DUMMYFUNCTION("""COMPUTED_VALUE"""),"DMT (Free) By Goodie")</f>
        <v>DMT (Free) By Goodie</v>
      </c>
    </row>
    <row r="109">
      <c r="A109" s="114">
        <v>75.0</v>
      </c>
      <c r="B109" s="115" t="str">
        <f>IFERROR(__xludf.DUMMYFUNCTION("""COMPUTED_VALUE"""),"Kaduna")</f>
        <v>Kaduna</v>
      </c>
    </row>
    <row r="110">
      <c r="A110" s="114">
        <v>75.0</v>
      </c>
      <c r="B110" s="115" t="str">
        <f>IFERROR(__xludf.DUMMYFUNCTION("""COMPUTED_VALUE"""),"MacroCRG")</f>
        <v>MacroCRG</v>
      </c>
    </row>
    <row r="111">
      <c r="A111" s="114">
        <v>75.0</v>
      </c>
      <c r="B111" s="115" t="str">
        <f>IFERROR(__xludf.DUMMYFUNCTION("""COMPUTED_VALUE"""),"Sharks Private Group")</f>
        <v>Sharks Private Group</v>
      </c>
    </row>
    <row r="112">
      <c r="A112" s="114">
        <v>75.0</v>
      </c>
      <c r="B112" s="115" t="str">
        <f>IFERROR(__xludf.DUMMYFUNCTION("""COMPUTED_VALUE"""),"Viktor")</f>
        <v>Viktor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sheetData>
    <row r="1" ht="22.5" customHeight="1">
      <c r="A1" s="80" t="s">
        <v>1297</v>
      </c>
    </row>
    <row r="2" ht="22.5" customHeight="1">
      <c r="A2" s="16" t="s">
        <v>1298</v>
      </c>
    </row>
    <row r="3" ht="22.5" customHeight="1">
      <c r="A3" s="16" t="s">
        <v>1299</v>
      </c>
    </row>
    <row r="4" ht="22.5" customHeight="1">
      <c r="A4" s="16" t="s">
        <v>27</v>
      </c>
    </row>
    <row r="5" ht="22.5" customHeight="1">
      <c r="A5" s="16" t="s">
        <v>70</v>
      </c>
    </row>
    <row r="6" ht="22.5" customHeight="1">
      <c r="A6" s="16" t="s">
        <v>1300</v>
      </c>
    </row>
    <row r="7" ht="22.5" customHeight="1">
      <c r="A7" s="16" t="s">
        <v>1301</v>
      </c>
    </row>
    <row r="8" ht="22.5" customHeight="1">
      <c r="A8" s="16" t="s">
        <v>1302</v>
      </c>
    </row>
    <row r="9" ht="22.5" customHeight="1">
      <c r="A9" s="16" t="s">
        <v>1303</v>
      </c>
    </row>
    <row r="10" ht="22.5" customHeight="1">
      <c r="A10" s="16" t="s">
        <v>1304</v>
      </c>
    </row>
    <row r="11" ht="22.5" customHeight="1">
      <c r="A11" s="16" t="s">
        <v>408</v>
      </c>
    </row>
    <row r="12" ht="22.5" customHeight="1">
      <c r="A12" s="16" t="s">
        <v>942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sheetData>
    <row r="1" ht="22.5" customHeight="1">
      <c r="A1" s="80" t="s">
        <v>1305</v>
      </c>
    </row>
    <row r="2" ht="22.5" customHeight="1">
      <c r="A2" s="16" t="s">
        <v>12</v>
      </c>
    </row>
    <row r="3" ht="22.5" customHeight="1">
      <c r="A3" s="16" t="s">
        <v>831</v>
      </c>
    </row>
    <row r="4" ht="22.5" customHeight="1">
      <c r="A4" s="16" t="s">
        <v>788</v>
      </c>
    </row>
    <row r="5" ht="22.5" customHeight="1">
      <c r="A5" s="16" t="s">
        <v>401</v>
      </c>
    </row>
    <row r="6" ht="22.5" customHeight="1">
      <c r="A6" s="16" t="s">
        <v>446</v>
      </c>
    </row>
    <row r="7" ht="22.5" customHeight="1">
      <c r="A7" s="16" t="s">
        <v>1183</v>
      </c>
    </row>
    <row r="8" ht="22.5" customHeight="1">
      <c r="A8" s="16" t="s">
        <v>1092</v>
      </c>
    </row>
    <row r="9" ht="22.5" customHeight="1">
      <c r="A9" s="16" t="s">
        <v>667</v>
      </c>
    </row>
    <row r="10" ht="22.5" customHeight="1">
      <c r="A10" s="16" t="s">
        <v>589</v>
      </c>
    </row>
    <row r="11" ht="22.5" customHeight="1">
      <c r="A11" s="16" t="s">
        <v>766</v>
      </c>
    </row>
    <row r="12" ht="22.5" customHeight="1">
      <c r="A12" s="16" t="s">
        <v>688</v>
      </c>
    </row>
    <row r="13" ht="22.5" customHeight="1">
      <c r="A13" s="16" t="s">
        <v>1306</v>
      </c>
    </row>
    <row r="14" ht="22.5" customHeight="1">
      <c r="A14" s="16" t="s">
        <v>1155</v>
      </c>
    </row>
    <row r="15" ht="22.5" customHeight="1">
      <c r="A15" s="16" t="s">
        <v>510</v>
      </c>
    </row>
    <row r="16" ht="22.5" customHeight="1">
      <c r="A16" s="16" t="s">
        <v>1087</v>
      </c>
    </row>
    <row r="17" ht="22.5" customHeight="1">
      <c r="A17" s="16" t="s">
        <v>1174</v>
      </c>
    </row>
    <row r="18" ht="22.5" customHeight="1">
      <c r="A18" s="16" t="s">
        <v>552</v>
      </c>
    </row>
    <row r="19" ht="22.5" customHeight="1">
      <c r="A19" s="16" t="s">
        <v>557</v>
      </c>
    </row>
    <row r="20" ht="22.5" customHeight="1">
      <c r="A20" s="16" t="s">
        <v>717</v>
      </c>
    </row>
    <row r="21" ht="22.5" customHeight="1">
      <c r="A21" s="16" t="s">
        <v>521</v>
      </c>
    </row>
    <row r="22" ht="22.5" customHeight="1">
      <c r="A22" s="16" t="s">
        <v>1084</v>
      </c>
    </row>
    <row r="23" ht="22.5" customHeight="1">
      <c r="A23" s="16" t="s">
        <v>570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3" t="s">
        <v>1197</v>
      </c>
    </row>
    <row r="2">
      <c r="A2" s="3" t="s">
        <v>17</v>
      </c>
    </row>
    <row r="3">
      <c r="A3" s="3" t="s">
        <v>1208</v>
      </c>
    </row>
    <row r="4">
      <c r="A4" s="3" t="s">
        <v>1256</v>
      </c>
    </row>
    <row r="5">
      <c r="A5" s="3" t="s">
        <v>23</v>
      </c>
    </row>
    <row r="6">
      <c r="A6" s="3" t="s">
        <v>1228</v>
      </c>
    </row>
    <row r="7">
      <c r="A7" s="3" t="s">
        <v>1227</v>
      </c>
    </row>
    <row r="8">
      <c r="A8" s="3" t="s">
        <v>1205</v>
      </c>
    </row>
    <row r="9">
      <c r="A9" s="3" t="s">
        <v>1248</v>
      </c>
    </row>
    <row r="10">
      <c r="A10" s="3" t="s">
        <v>1251</v>
      </c>
    </row>
    <row r="11">
      <c r="A11" s="3" t="s">
        <v>1275</v>
      </c>
    </row>
    <row r="12">
      <c r="A12" s="3" t="s">
        <v>1276</v>
      </c>
    </row>
    <row r="13">
      <c r="A13" s="3" t="s">
        <v>1216</v>
      </c>
    </row>
    <row r="14">
      <c r="A14" s="3" t="s">
        <v>1214</v>
      </c>
    </row>
    <row r="15">
      <c r="A15" s="3" t="s">
        <v>1224</v>
      </c>
    </row>
    <row r="16">
      <c r="A16" s="3" t="s">
        <v>1220</v>
      </c>
    </row>
    <row r="17">
      <c r="A17" s="3" t="s">
        <v>1252</v>
      </c>
    </row>
  </sheetData>
  <drawing r:id="rId1"/>
</worksheet>
</file>